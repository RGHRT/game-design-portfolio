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BC8608-4AFA-4B16-995A-7BE022491A03}" xr6:coauthVersionLast="47" xr6:coauthVersionMax="47" xr10:uidLastSave="{00000000-0000-0000-0000-000000000000}"/>
  <bookViews>
    <workbookView xWindow="-108" yWindow="-108" windowWidth="30936" windowHeight="17496" activeTab="7" xr2:uid="{00000000-000D-0000-FFFF-FFFF00000000}"/>
  </bookViews>
  <sheets>
    <sheet name="0_设计说明" sheetId="1" r:id="rId1"/>
    <sheet name="1_角色属性成长" sheetId="2" r:id="rId2"/>
    <sheet name="2_经验消耗曲线" sheetId="3" r:id="rId3"/>
    <sheet name="3_敌人属性设计" sheetId="4" r:id="rId4"/>
    <sheet name="4_伤害公式" sheetId="5" r:id="rId5"/>
    <sheet name="5_关卡难度配置" sheetId="6" r:id="rId6"/>
    <sheet name="6_资源产出消耗" sheetId="7" r:id="rId7"/>
    <sheet name="7_平衡性观察" sheetId="8" r:id="rId8"/>
  </sheets>
  <calcPr calcId="191029"/>
</workbook>
</file>

<file path=xl/calcChain.xml><?xml version="1.0" encoding="utf-8"?>
<calcChain xmlns="http://schemas.openxmlformats.org/spreadsheetml/2006/main">
  <c r="D7" i="7" l="1"/>
  <c r="E7" i="7" s="1"/>
  <c r="D6" i="7"/>
  <c r="E6" i="7" s="1"/>
  <c r="D5" i="7"/>
  <c r="E5" i="7" s="1"/>
  <c r="D4" i="7"/>
  <c r="E4" i="7" s="1"/>
  <c r="K33" i="6"/>
  <c r="E33" i="6"/>
  <c r="J33" i="6" s="1"/>
  <c r="D33" i="6"/>
  <c r="C33" i="6"/>
  <c r="K32" i="6"/>
  <c r="E32" i="6"/>
  <c r="J32" i="6" s="1"/>
  <c r="D32" i="6"/>
  <c r="C32" i="6"/>
  <c r="B32" i="6"/>
  <c r="G32" i="6" s="1"/>
  <c r="K31" i="6"/>
  <c r="E31" i="6"/>
  <c r="J31" i="6" s="1"/>
  <c r="D31" i="6"/>
  <c r="C31" i="6"/>
  <c r="B31" i="6"/>
  <c r="G31" i="6" s="1"/>
  <c r="K30" i="6"/>
  <c r="E30" i="6"/>
  <c r="J30" i="6" s="1"/>
  <c r="D30" i="6"/>
  <c r="C30" i="6"/>
  <c r="B30" i="6"/>
  <c r="K29" i="6"/>
  <c r="E29" i="6"/>
  <c r="J29" i="6" s="1"/>
  <c r="D29" i="6"/>
  <c r="C29" i="6"/>
  <c r="B29" i="6"/>
  <c r="K28" i="6"/>
  <c r="E28" i="6"/>
  <c r="J28" i="6" s="1"/>
  <c r="D28" i="6"/>
  <c r="C28" i="6"/>
  <c r="B28" i="6"/>
  <c r="K27" i="6"/>
  <c r="E27" i="6"/>
  <c r="J27" i="6" s="1"/>
  <c r="D27" i="6"/>
  <c r="C27" i="6"/>
  <c r="K26" i="6"/>
  <c r="E26" i="6"/>
  <c r="J26" i="6" s="1"/>
  <c r="D26" i="6"/>
  <c r="C26" i="6"/>
  <c r="K25" i="6"/>
  <c r="E25" i="6"/>
  <c r="J25" i="6" s="1"/>
  <c r="D25" i="6"/>
  <c r="C25" i="6"/>
  <c r="K24" i="6"/>
  <c r="E24" i="6"/>
  <c r="J24" i="6" s="1"/>
  <c r="D24" i="6"/>
  <c r="C24" i="6"/>
  <c r="K23" i="6"/>
  <c r="E23" i="6"/>
  <c r="J23" i="6" s="1"/>
  <c r="D23" i="6"/>
  <c r="C23" i="6"/>
  <c r="K22" i="6"/>
  <c r="E22" i="6"/>
  <c r="J22" i="6" s="1"/>
  <c r="D22" i="6"/>
  <c r="C22" i="6"/>
  <c r="K21" i="6"/>
  <c r="E21" i="6"/>
  <c r="J21" i="6" s="1"/>
  <c r="D21" i="6"/>
  <c r="C21" i="6"/>
  <c r="K20" i="6"/>
  <c r="E20" i="6"/>
  <c r="J20" i="6" s="1"/>
  <c r="D20" i="6"/>
  <c r="C20" i="6"/>
  <c r="K19" i="6"/>
  <c r="E19" i="6"/>
  <c r="J19" i="6" s="1"/>
  <c r="D19" i="6"/>
  <c r="C19" i="6"/>
  <c r="K18" i="6"/>
  <c r="E18" i="6"/>
  <c r="J18" i="6" s="1"/>
  <c r="D18" i="6"/>
  <c r="C18" i="6"/>
  <c r="K17" i="6"/>
  <c r="E17" i="6"/>
  <c r="J17" i="6" s="1"/>
  <c r="D17" i="6"/>
  <c r="C17" i="6"/>
  <c r="K16" i="6"/>
  <c r="E16" i="6"/>
  <c r="J16" i="6" s="1"/>
  <c r="D16" i="6"/>
  <c r="C16" i="6"/>
  <c r="K15" i="6"/>
  <c r="E15" i="6"/>
  <c r="J15" i="6" s="1"/>
  <c r="D15" i="6"/>
  <c r="C15" i="6"/>
  <c r="K14" i="6"/>
  <c r="E14" i="6"/>
  <c r="J14" i="6" s="1"/>
  <c r="D14" i="6"/>
  <c r="C14" i="6"/>
  <c r="K13" i="6"/>
  <c r="E13" i="6"/>
  <c r="J13" i="6" s="1"/>
  <c r="D13" i="6"/>
  <c r="C13" i="6"/>
  <c r="K12" i="6"/>
  <c r="E12" i="6"/>
  <c r="J12" i="6" s="1"/>
  <c r="D12" i="6"/>
  <c r="C12" i="6"/>
  <c r="K11" i="6"/>
  <c r="E11" i="6"/>
  <c r="J11" i="6" s="1"/>
  <c r="D11" i="6"/>
  <c r="C11" i="6"/>
  <c r="K10" i="6"/>
  <c r="E10" i="6"/>
  <c r="J10" i="6" s="1"/>
  <c r="D10" i="6"/>
  <c r="C10" i="6"/>
  <c r="K9" i="6"/>
  <c r="E9" i="6"/>
  <c r="J9" i="6" s="1"/>
  <c r="D9" i="6"/>
  <c r="C9" i="6"/>
  <c r="K8" i="6"/>
  <c r="E8" i="6"/>
  <c r="J8" i="6" s="1"/>
  <c r="D8" i="6"/>
  <c r="C8" i="6"/>
  <c r="K7" i="6"/>
  <c r="J7" i="6"/>
  <c r="E7" i="6"/>
  <c r="D7" i="6"/>
  <c r="C7" i="6"/>
  <c r="K6" i="6"/>
  <c r="E6" i="6"/>
  <c r="J6" i="6" s="1"/>
  <c r="D6" i="6"/>
  <c r="C6" i="6"/>
  <c r="K5" i="6"/>
  <c r="E5" i="6"/>
  <c r="J5" i="6" s="1"/>
  <c r="D5" i="6"/>
  <c r="C5" i="6"/>
  <c r="K4" i="6"/>
  <c r="E4" i="6"/>
  <c r="J4" i="6" s="1"/>
  <c r="D4" i="6"/>
  <c r="C4" i="6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6" i="6" s="1"/>
  <c r="B5" i="4"/>
  <c r="B4" i="4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4" i="3"/>
  <c r="A4" i="3"/>
  <c r="F83" i="2"/>
  <c r="B83" i="3" s="1"/>
  <c r="D83" i="2"/>
  <c r="C83" i="2"/>
  <c r="B83" i="2"/>
  <c r="E83" i="2" s="1"/>
  <c r="F82" i="2"/>
  <c r="B82" i="3" s="1"/>
  <c r="D83" i="3" s="1"/>
  <c r="D82" i="2"/>
  <c r="C82" i="2"/>
  <c r="B82" i="2"/>
  <c r="E82" i="2" s="1"/>
  <c r="F81" i="2"/>
  <c r="B81" i="3" s="1"/>
  <c r="D82" i="3" s="1"/>
  <c r="D81" i="2"/>
  <c r="C81" i="2"/>
  <c r="B81" i="2"/>
  <c r="E81" i="2" s="1"/>
  <c r="F80" i="2"/>
  <c r="B80" i="3" s="1"/>
  <c r="D81" i="3" s="1"/>
  <c r="D80" i="2"/>
  <c r="C80" i="2"/>
  <c r="B80" i="2"/>
  <c r="E80" i="2" s="1"/>
  <c r="F79" i="2"/>
  <c r="B79" i="3" s="1"/>
  <c r="D80" i="3" s="1"/>
  <c r="D79" i="2"/>
  <c r="C79" i="2"/>
  <c r="B79" i="2"/>
  <c r="E79" i="2" s="1"/>
  <c r="F78" i="2"/>
  <c r="B78" i="3" s="1"/>
  <c r="D79" i="3" s="1"/>
  <c r="D78" i="2"/>
  <c r="C78" i="2"/>
  <c r="B78" i="2"/>
  <c r="E78" i="2" s="1"/>
  <c r="F77" i="2"/>
  <c r="B77" i="3" s="1"/>
  <c r="D78" i="3" s="1"/>
  <c r="D77" i="2"/>
  <c r="C77" i="2"/>
  <c r="B77" i="2"/>
  <c r="E77" i="2" s="1"/>
  <c r="F76" i="2"/>
  <c r="B76" i="3" s="1"/>
  <c r="D77" i="3" s="1"/>
  <c r="D76" i="2"/>
  <c r="C76" i="2"/>
  <c r="B76" i="2"/>
  <c r="E76" i="2" s="1"/>
  <c r="F75" i="2"/>
  <c r="B75" i="3" s="1"/>
  <c r="D76" i="3" s="1"/>
  <c r="D75" i="2"/>
  <c r="C75" i="2"/>
  <c r="B75" i="2"/>
  <c r="E75" i="2" s="1"/>
  <c r="F74" i="2"/>
  <c r="B74" i="3" s="1"/>
  <c r="D75" i="3" s="1"/>
  <c r="D74" i="2"/>
  <c r="C74" i="2"/>
  <c r="B74" i="2"/>
  <c r="E74" i="2" s="1"/>
  <c r="F73" i="2"/>
  <c r="B73" i="3" s="1"/>
  <c r="D74" i="3" s="1"/>
  <c r="D73" i="2"/>
  <c r="C73" i="2"/>
  <c r="B73" i="2"/>
  <c r="E73" i="2" s="1"/>
  <c r="F72" i="2"/>
  <c r="B72" i="3" s="1"/>
  <c r="D73" i="3" s="1"/>
  <c r="D72" i="2"/>
  <c r="C72" i="2"/>
  <c r="B72" i="2"/>
  <c r="E72" i="2" s="1"/>
  <c r="F71" i="2"/>
  <c r="B71" i="3" s="1"/>
  <c r="D72" i="3" s="1"/>
  <c r="D71" i="2"/>
  <c r="C71" i="2"/>
  <c r="B71" i="2"/>
  <c r="E71" i="2" s="1"/>
  <c r="F70" i="2"/>
  <c r="B70" i="3" s="1"/>
  <c r="D71" i="3" s="1"/>
  <c r="D70" i="2"/>
  <c r="C70" i="2"/>
  <c r="B70" i="2"/>
  <c r="E70" i="2" s="1"/>
  <c r="F69" i="2"/>
  <c r="B69" i="3" s="1"/>
  <c r="D70" i="3" s="1"/>
  <c r="D69" i="2"/>
  <c r="C69" i="2"/>
  <c r="B69" i="2"/>
  <c r="E69" i="2" s="1"/>
  <c r="F68" i="2"/>
  <c r="B68" i="3" s="1"/>
  <c r="D69" i="3" s="1"/>
  <c r="D68" i="2"/>
  <c r="C68" i="2"/>
  <c r="B68" i="2"/>
  <c r="E68" i="2" s="1"/>
  <c r="F67" i="2"/>
  <c r="B67" i="3" s="1"/>
  <c r="D68" i="3" s="1"/>
  <c r="D67" i="2"/>
  <c r="C67" i="2"/>
  <c r="B67" i="2"/>
  <c r="E67" i="2" s="1"/>
  <c r="F66" i="2"/>
  <c r="B66" i="3" s="1"/>
  <c r="D67" i="3" s="1"/>
  <c r="D66" i="2"/>
  <c r="C66" i="2"/>
  <c r="B66" i="2"/>
  <c r="E66" i="2" s="1"/>
  <c r="F65" i="2"/>
  <c r="B65" i="3" s="1"/>
  <c r="D66" i="3" s="1"/>
  <c r="D65" i="2"/>
  <c r="C65" i="2"/>
  <c r="B65" i="2"/>
  <c r="E65" i="2" s="1"/>
  <c r="F64" i="2"/>
  <c r="B64" i="3" s="1"/>
  <c r="D64" i="2"/>
  <c r="C64" i="2"/>
  <c r="B64" i="2"/>
  <c r="E64" i="2" s="1"/>
  <c r="F63" i="2"/>
  <c r="B63" i="3" s="1"/>
  <c r="D64" i="3" s="1"/>
  <c r="D63" i="2"/>
  <c r="C63" i="2"/>
  <c r="B63" i="2"/>
  <c r="E63" i="2" s="1"/>
  <c r="F62" i="2"/>
  <c r="B62" i="3" s="1"/>
  <c r="D63" i="3" s="1"/>
  <c r="D62" i="2"/>
  <c r="C62" i="2"/>
  <c r="B62" i="2"/>
  <c r="E62" i="2" s="1"/>
  <c r="F61" i="2"/>
  <c r="B61" i="3" s="1"/>
  <c r="D62" i="3" s="1"/>
  <c r="D61" i="2"/>
  <c r="C61" i="2"/>
  <c r="B61" i="2"/>
  <c r="E61" i="2" s="1"/>
  <c r="F60" i="2"/>
  <c r="B60" i="3" s="1"/>
  <c r="D61" i="3" s="1"/>
  <c r="D60" i="2"/>
  <c r="C60" i="2"/>
  <c r="B60" i="2"/>
  <c r="E60" i="2" s="1"/>
  <c r="F59" i="2"/>
  <c r="B59" i="3" s="1"/>
  <c r="D60" i="3" s="1"/>
  <c r="D59" i="2"/>
  <c r="C59" i="2"/>
  <c r="B59" i="2"/>
  <c r="E59" i="2" s="1"/>
  <c r="F58" i="2"/>
  <c r="B58" i="3" s="1"/>
  <c r="D59" i="3" s="1"/>
  <c r="D58" i="2"/>
  <c r="C58" i="2"/>
  <c r="B58" i="2"/>
  <c r="E58" i="2" s="1"/>
  <c r="F57" i="2"/>
  <c r="B57" i="3" s="1"/>
  <c r="D58" i="3" s="1"/>
  <c r="D57" i="2"/>
  <c r="C57" i="2"/>
  <c r="B57" i="2"/>
  <c r="E57" i="2" s="1"/>
  <c r="F56" i="2"/>
  <c r="B56" i="3" s="1"/>
  <c r="D56" i="2"/>
  <c r="C56" i="2"/>
  <c r="B56" i="2"/>
  <c r="E56" i="2" s="1"/>
  <c r="F55" i="2"/>
  <c r="B55" i="3" s="1"/>
  <c r="D56" i="3" s="1"/>
  <c r="D55" i="2"/>
  <c r="C55" i="2"/>
  <c r="B55" i="2"/>
  <c r="E55" i="2" s="1"/>
  <c r="F54" i="2"/>
  <c r="B54" i="3" s="1"/>
  <c r="D55" i="3" s="1"/>
  <c r="D54" i="2"/>
  <c r="C54" i="2"/>
  <c r="B54" i="2"/>
  <c r="E54" i="2" s="1"/>
  <c r="F53" i="2"/>
  <c r="B53" i="3" s="1"/>
  <c r="D54" i="3" s="1"/>
  <c r="D53" i="2"/>
  <c r="C53" i="2"/>
  <c r="B53" i="2"/>
  <c r="E53" i="2" s="1"/>
  <c r="F52" i="2"/>
  <c r="B52" i="3" s="1"/>
  <c r="D53" i="3" s="1"/>
  <c r="D52" i="2"/>
  <c r="C52" i="2"/>
  <c r="B52" i="2"/>
  <c r="E52" i="2" s="1"/>
  <c r="F51" i="2"/>
  <c r="B51" i="3" s="1"/>
  <c r="D52" i="3" s="1"/>
  <c r="D51" i="2"/>
  <c r="C51" i="2"/>
  <c r="B51" i="2"/>
  <c r="E51" i="2" s="1"/>
  <c r="F50" i="2"/>
  <c r="B50" i="3" s="1"/>
  <c r="D51" i="3" s="1"/>
  <c r="D50" i="2"/>
  <c r="C50" i="2"/>
  <c r="B50" i="2"/>
  <c r="E50" i="2" s="1"/>
  <c r="F49" i="2"/>
  <c r="B49" i="3" s="1"/>
  <c r="D50" i="3" s="1"/>
  <c r="D49" i="2"/>
  <c r="C49" i="2"/>
  <c r="B49" i="2"/>
  <c r="E49" i="2" s="1"/>
  <c r="F48" i="2"/>
  <c r="B48" i="3" s="1"/>
  <c r="D49" i="3" s="1"/>
  <c r="D48" i="2"/>
  <c r="C48" i="2"/>
  <c r="B48" i="2"/>
  <c r="E48" i="2" s="1"/>
  <c r="F47" i="2"/>
  <c r="B47" i="3" s="1"/>
  <c r="D48" i="3" s="1"/>
  <c r="D47" i="2"/>
  <c r="C47" i="2"/>
  <c r="B47" i="2"/>
  <c r="E47" i="2" s="1"/>
  <c r="F46" i="2"/>
  <c r="B46" i="3" s="1"/>
  <c r="D47" i="3" s="1"/>
  <c r="D46" i="2"/>
  <c r="C46" i="2"/>
  <c r="B46" i="2"/>
  <c r="E46" i="2" s="1"/>
  <c r="F45" i="2"/>
  <c r="B45" i="3" s="1"/>
  <c r="D46" i="3" s="1"/>
  <c r="D45" i="2"/>
  <c r="C45" i="2"/>
  <c r="B45" i="2"/>
  <c r="E45" i="2" s="1"/>
  <c r="F44" i="2"/>
  <c r="B44" i="3" s="1"/>
  <c r="D45" i="3" s="1"/>
  <c r="D44" i="2"/>
  <c r="C44" i="2"/>
  <c r="B44" i="2"/>
  <c r="E44" i="2" s="1"/>
  <c r="F43" i="2"/>
  <c r="B43" i="3" s="1"/>
  <c r="D44" i="3" s="1"/>
  <c r="D43" i="2"/>
  <c r="C43" i="2"/>
  <c r="B43" i="2"/>
  <c r="E43" i="2" s="1"/>
  <c r="F42" i="2"/>
  <c r="B42" i="3" s="1"/>
  <c r="D43" i="3" s="1"/>
  <c r="D42" i="2"/>
  <c r="C42" i="2"/>
  <c r="B42" i="2"/>
  <c r="E42" i="2" s="1"/>
  <c r="F41" i="2"/>
  <c r="B41" i="3" s="1"/>
  <c r="D42" i="3" s="1"/>
  <c r="D41" i="2"/>
  <c r="C41" i="2"/>
  <c r="B41" i="2"/>
  <c r="E41" i="2" s="1"/>
  <c r="F40" i="2"/>
  <c r="B40" i="3" s="1"/>
  <c r="D41" i="3" s="1"/>
  <c r="D40" i="2"/>
  <c r="C40" i="2"/>
  <c r="B40" i="2"/>
  <c r="E40" i="2" s="1"/>
  <c r="F39" i="2"/>
  <c r="B39" i="3" s="1"/>
  <c r="D40" i="3" s="1"/>
  <c r="D39" i="2"/>
  <c r="C39" i="2"/>
  <c r="B39" i="2"/>
  <c r="E39" i="2" s="1"/>
  <c r="F38" i="2"/>
  <c r="B38" i="3" s="1"/>
  <c r="D39" i="3" s="1"/>
  <c r="D38" i="2"/>
  <c r="C38" i="2"/>
  <c r="B38" i="2"/>
  <c r="E38" i="2" s="1"/>
  <c r="F37" i="2"/>
  <c r="B37" i="3" s="1"/>
  <c r="D38" i="3" s="1"/>
  <c r="D37" i="2"/>
  <c r="C37" i="2"/>
  <c r="B37" i="2"/>
  <c r="E37" i="2" s="1"/>
  <c r="F36" i="2"/>
  <c r="B36" i="3" s="1"/>
  <c r="D36" i="2"/>
  <c r="C36" i="2"/>
  <c r="B36" i="2"/>
  <c r="E36" i="2" s="1"/>
  <c r="F35" i="2"/>
  <c r="B35" i="3" s="1"/>
  <c r="D36" i="3" s="1"/>
  <c r="D35" i="2"/>
  <c r="C35" i="2"/>
  <c r="B35" i="2"/>
  <c r="E35" i="2" s="1"/>
  <c r="F34" i="2"/>
  <c r="B34" i="3" s="1"/>
  <c r="D35" i="3" s="1"/>
  <c r="D34" i="2"/>
  <c r="C34" i="2"/>
  <c r="B34" i="2"/>
  <c r="E34" i="2" s="1"/>
  <c r="F33" i="2"/>
  <c r="B33" i="3" s="1"/>
  <c r="D34" i="3" s="1"/>
  <c r="D33" i="2"/>
  <c r="C33" i="2"/>
  <c r="B33" i="2"/>
  <c r="E33" i="2" s="1"/>
  <c r="F32" i="2"/>
  <c r="B32" i="3" s="1"/>
  <c r="D33" i="3" s="1"/>
  <c r="D32" i="2"/>
  <c r="C32" i="2"/>
  <c r="B32" i="2"/>
  <c r="E32" i="2" s="1"/>
  <c r="F31" i="2"/>
  <c r="B31" i="3" s="1"/>
  <c r="D32" i="3" s="1"/>
  <c r="D31" i="2"/>
  <c r="C31" i="2"/>
  <c r="B31" i="2"/>
  <c r="E31" i="2" s="1"/>
  <c r="F30" i="2"/>
  <c r="B30" i="3" s="1"/>
  <c r="D31" i="3" s="1"/>
  <c r="D30" i="2"/>
  <c r="C30" i="2"/>
  <c r="B30" i="2"/>
  <c r="E30" i="2" s="1"/>
  <c r="F29" i="2"/>
  <c r="B29" i="3" s="1"/>
  <c r="D30" i="3" s="1"/>
  <c r="D29" i="2"/>
  <c r="C29" i="2"/>
  <c r="B29" i="2"/>
  <c r="E29" i="2" s="1"/>
  <c r="F28" i="2"/>
  <c r="B28" i="3" s="1"/>
  <c r="D29" i="3" s="1"/>
  <c r="D28" i="2"/>
  <c r="C28" i="2"/>
  <c r="B28" i="2"/>
  <c r="E28" i="2" s="1"/>
  <c r="F27" i="2"/>
  <c r="B27" i="3" s="1"/>
  <c r="D28" i="3" s="1"/>
  <c r="D27" i="2"/>
  <c r="C27" i="2"/>
  <c r="B27" i="2"/>
  <c r="E27" i="2" s="1"/>
  <c r="F26" i="2"/>
  <c r="B26" i="3" s="1"/>
  <c r="D27" i="3" s="1"/>
  <c r="D26" i="2"/>
  <c r="C26" i="2"/>
  <c r="B26" i="2"/>
  <c r="E26" i="2" s="1"/>
  <c r="G25" i="2"/>
  <c r="C25" i="3" s="1"/>
  <c r="F25" i="2"/>
  <c r="B25" i="3" s="1"/>
  <c r="D26" i="3" s="1"/>
  <c r="D25" i="2"/>
  <c r="C25" i="2"/>
  <c r="B25" i="2"/>
  <c r="E25" i="2" s="1"/>
  <c r="F24" i="2"/>
  <c r="B24" i="3" s="1"/>
  <c r="D25" i="3" s="1"/>
  <c r="D24" i="2"/>
  <c r="C24" i="2"/>
  <c r="B24" i="2"/>
  <c r="E24" i="2" s="1"/>
  <c r="F23" i="2"/>
  <c r="B23" i="3" s="1"/>
  <c r="D24" i="3" s="1"/>
  <c r="D23" i="2"/>
  <c r="C23" i="2"/>
  <c r="B23" i="2"/>
  <c r="E23" i="2" s="1"/>
  <c r="F22" i="2"/>
  <c r="B22" i="3" s="1"/>
  <c r="D23" i="3" s="1"/>
  <c r="D22" i="2"/>
  <c r="C22" i="2"/>
  <c r="B22" i="2"/>
  <c r="E22" i="2" s="1"/>
  <c r="F21" i="2"/>
  <c r="B21" i="3" s="1"/>
  <c r="D22" i="3" s="1"/>
  <c r="D21" i="2"/>
  <c r="C21" i="2"/>
  <c r="B21" i="2"/>
  <c r="E21" i="2" s="1"/>
  <c r="F20" i="2"/>
  <c r="B20" i="3" s="1"/>
  <c r="D21" i="3" s="1"/>
  <c r="D20" i="2"/>
  <c r="C20" i="2"/>
  <c r="B20" i="2"/>
  <c r="E20" i="2" s="1"/>
  <c r="F19" i="2"/>
  <c r="B19" i="3" s="1"/>
  <c r="D20" i="3" s="1"/>
  <c r="D19" i="2"/>
  <c r="C19" i="2"/>
  <c r="B19" i="2"/>
  <c r="E19" i="2" s="1"/>
  <c r="F18" i="2"/>
  <c r="B18" i="3" s="1"/>
  <c r="D19" i="3" s="1"/>
  <c r="D18" i="2"/>
  <c r="C18" i="2"/>
  <c r="B18" i="2"/>
  <c r="E18" i="2" s="1"/>
  <c r="F17" i="2"/>
  <c r="B17" i="3" s="1"/>
  <c r="D18" i="3" s="1"/>
  <c r="D17" i="2"/>
  <c r="C17" i="2"/>
  <c r="B17" i="2"/>
  <c r="E17" i="2" s="1"/>
  <c r="F16" i="2"/>
  <c r="B16" i="3" s="1"/>
  <c r="D17" i="3" s="1"/>
  <c r="D16" i="2"/>
  <c r="C16" i="2"/>
  <c r="B16" i="2"/>
  <c r="E16" i="2" s="1"/>
  <c r="F15" i="2"/>
  <c r="B15" i="3" s="1"/>
  <c r="D16" i="3" s="1"/>
  <c r="D15" i="2"/>
  <c r="C15" i="2"/>
  <c r="B15" i="2"/>
  <c r="E15" i="2" s="1"/>
  <c r="F14" i="2"/>
  <c r="B14" i="3" s="1"/>
  <c r="D15" i="3" s="1"/>
  <c r="D14" i="2"/>
  <c r="C14" i="2"/>
  <c r="B14" i="2"/>
  <c r="E14" i="2" s="1"/>
  <c r="F13" i="2"/>
  <c r="B13" i="3" s="1"/>
  <c r="D14" i="3" s="1"/>
  <c r="D13" i="2"/>
  <c r="C13" i="2"/>
  <c r="B13" i="2"/>
  <c r="E13" i="2" s="1"/>
  <c r="F12" i="2"/>
  <c r="B12" i="3" s="1"/>
  <c r="D13" i="3" s="1"/>
  <c r="D12" i="2"/>
  <c r="C12" i="2"/>
  <c r="B12" i="2"/>
  <c r="E12" i="2" s="1"/>
  <c r="F11" i="2"/>
  <c r="B11" i="3" s="1"/>
  <c r="D12" i="3" s="1"/>
  <c r="D11" i="2"/>
  <c r="E6" i="4" s="1"/>
  <c r="C11" i="2"/>
  <c r="D6" i="4" s="1"/>
  <c r="B11" i="2"/>
  <c r="F10" i="2"/>
  <c r="B10" i="3" s="1"/>
  <c r="D11" i="3" s="1"/>
  <c r="D10" i="2"/>
  <c r="C10" i="2"/>
  <c r="B10" i="2"/>
  <c r="E10" i="2" s="1"/>
  <c r="F9" i="2"/>
  <c r="B9" i="3" s="1"/>
  <c r="D10" i="3" s="1"/>
  <c r="D9" i="2"/>
  <c r="C9" i="2"/>
  <c r="B9" i="2"/>
  <c r="E9" i="2" s="1"/>
  <c r="F8" i="2"/>
  <c r="B8" i="3" s="1"/>
  <c r="D9" i="3" s="1"/>
  <c r="D8" i="2"/>
  <c r="C8" i="2"/>
  <c r="B8" i="2"/>
  <c r="E8" i="2" s="1"/>
  <c r="F7" i="2"/>
  <c r="B7" i="3" s="1"/>
  <c r="D8" i="3" s="1"/>
  <c r="D7" i="2"/>
  <c r="C7" i="2"/>
  <c r="B7" i="2"/>
  <c r="E7" i="2" s="1"/>
  <c r="F6" i="2"/>
  <c r="B6" i="3" s="1"/>
  <c r="D7" i="3" s="1"/>
  <c r="D6" i="2"/>
  <c r="C6" i="2"/>
  <c r="B6" i="2"/>
  <c r="E6" i="2" s="1"/>
  <c r="F5" i="2"/>
  <c r="B5" i="3" s="1"/>
  <c r="D6" i="3" s="1"/>
  <c r="D5" i="2"/>
  <c r="C5" i="2"/>
  <c r="B5" i="2"/>
  <c r="E5" i="2" s="1"/>
  <c r="F4" i="2"/>
  <c r="D4" i="2"/>
  <c r="C4" i="2"/>
  <c r="B4" i="2"/>
  <c r="E4" i="2" s="1"/>
  <c r="E33" i="4" l="1"/>
  <c r="B33" i="6"/>
  <c r="G33" i="6" s="1"/>
  <c r="D33" i="4"/>
  <c r="C33" i="4"/>
  <c r="C32" i="4"/>
  <c r="D32" i="4"/>
  <c r="E32" i="4"/>
  <c r="C31" i="4"/>
  <c r="E31" i="4"/>
  <c r="D31" i="4"/>
  <c r="D30" i="4"/>
  <c r="C30" i="4"/>
  <c r="E30" i="4"/>
  <c r="C29" i="4"/>
  <c r="E29" i="4"/>
  <c r="D29" i="4"/>
  <c r="C28" i="4"/>
  <c r="E28" i="4"/>
  <c r="D28" i="4"/>
  <c r="D27" i="4"/>
  <c r="C27" i="4"/>
  <c r="E27" i="4"/>
  <c r="B27" i="6"/>
  <c r="G27" i="6" s="1"/>
  <c r="C26" i="4"/>
  <c r="D26" i="4"/>
  <c r="B26" i="6"/>
  <c r="G26" i="6" s="1"/>
  <c r="E26" i="4"/>
  <c r="B25" i="6"/>
  <c r="G25" i="6" s="1"/>
  <c r="E25" i="4"/>
  <c r="D25" i="4"/>
  <c r="C25" i="4"/>
  <c r="B24" i="6"/>
  <c r="G24" i="6" s="1"/>
  <c r="E24" i="4"/>
  <c r="C24" i="4"/>
  <c r="D24" i="4"/>
  <c r="B23" i="6"/>
  <c r="G23" i="6" s="1"/>
  <c r="D23" i="4"/>
  <c r="E23" i="4"/>
  <c r="C23" i="4"/>
  <c r="E22" i="4"/>
  <c r="C22" i="4"/>
  <c r="D22" i="4"/>
  <c r="B22" i="6"/>
  <c r="G22" i="6" s="1"/>
  <c r="C21" i="4"/>
  <c r="E21" i="4"/>
  <c r="D21" i="4"/>
  <c r="B21" i="6"/>
  <c r="G21" i="6" s="1"/>
  <c r="C20" i="4"/>
  <c r="E20" i="4"/>
  <c r="D20" i="4"/>
  <c r="B20" i="6"/>
  <c r="G20" i="6" s="1"/>
  <c r="B19" i="6"/>
  <c r="G19" i="6" s="1"/>
  <c r="E19" i="4"/>
  <c r="D19" i="4"/>
  <c r="C19" i="4"/>
  <c r="D18" i="4"/>
  <c r="B18" i="6"/>
  <c r="G18" i="6" s="1"/>
  <c r="E18" i="4"/>
  <c r="C18" i="4"/>
  <c r="B17" i="6"/>
  <c r="G17" i="6" s="1"/>
  <c r="E17" i="4"/>
  <c r="D17" i="4"/>
  <c r="C17" i="4"/>
  <c r="E16" i="4"/>
  <c r="C16" i="4"/>
  <c r="B16" i="6"/>
  <c r="G16" i="6" s="1"/>
  <c r="D16" i="4"/>
  <c r="D15" i="4"/>
  <c r="E15" i="4"/>
  <c r="C15" i="4"/>
  <c r="B15" i="6"/>
  <c r="G15" i="6" s="1"/>
  <c r="C14" i="4"/>
  <c r="E14" i="4"/>
  <c r="D14" i="4"/>
  <c r="B14" i="6"/>
  <c r="G14" i="6" s="1"/>
  <c r="C13" i="4"/>
  <c r="D13" i="4"/>
  <c r="E13" i="4"/>
  <c r="B13" i="6"/>
  <c r="G13" i="6" s="1"/>
  <c r="C12" i="4"/>
  <c r="E12" i="4"/>
  <c r="B12" i="6"/>
  <c r="G12" i="6" s="1"/>
  <c r="D12" i="4"/>
  <c r="D11" i="4"/>
  <c r="C11" i="4"/>
  <c r="B11" i="6"/>
  <c r="G11" i="6" s="1"/>
  <c r="E11" i="4"/>
  <c r="B10" i="6"/>
  <c r="G10" i="6" s="1"/>
  <c r="E10" i="4"/>
  <c r="D10" i="4"/>
  <c r="C10" i="4"/>
  <c r="B9" i="6"/>
  <c r="G9" i="6" s="1"/>
  <c r="E9" i="4"/>
  <c r="D9" i="4"/>
  <c r="C9" i="4"/>
  <c r="B8" i="6"/>
  <c r="G8" i="6" s="1"/>
  <c r="E8" i="4"/>
  <c r="D8" i="4"/>
  <c r="C8" i="4"/>
  <c r="D7" i="4"/>
  <c r="E7" i="4"/>
  <c r="C7" i="4"/>
  <c r="B7" i="6"/>
  <c r="G7" i="6" s="1"/>
  <c r="B5" i="6"/>
  <c r="G5" i="6" s="1"/>
  <c r="E5" i="4"/>
  <c r="D5" i="4"/>
  <c r="C5" i="4"/>
  <c r="E4" i="4"/>
  <c r="C4" i="4"/>
  <c r="B4" i="6"/>
  <c r="G4" i="6" s="1"/>
  <c r="D4" i="4"/>
  <c r="B27" i="5"/>
  <c r="B28" i="5"/>
  <c r="B29" i="5"/>
  <c r="B25" i="5"/>
  <c r="B24" i="5"/>
  <c r="B26" i="5"/>
  <c r="B23" i="5"/>
  <c r="B21" i="5"/>
  <c r="B22" i="5"/>
  <c r="B20" i="5"/>
  <c r="B18" i="5"/>
  <c r="B19" i="5"/>
  <c r="B16" i="5"/>
  <c r="B17" i="5"/>
  <c r="B15" i="5"/>
  <c r="B13" i="5"/>
  <c r="B12" i="5"/>
  <c r="B14" i="5"/>
  <c r="B10" i="5"/>
  <c r="B9" i="5"/>
  <c r="B11" i="5"/>
  <c r="B6" i="5"/>
  <c r="B8" i="5"/>
  <c r="B7" i="5"/>
  <c r="H6" i="4"/>
  <c r="K6" i="4"/>
  <c r="G6" i="4"/>
  <c r="J6" i="4"/>
  <c r="C6" i="4"/>
  <c r="E11" i="2"/>
  <c r="G6" i="6" s="1"/>
  <c r="G5" i="2"/>
  <c r="C5" i="3" s="1"/>
  <c r="G8" i="2"/>
  <c r="C8" i="3" s="1"/>
  <c r="G42" i="2"/>
  <c r="C42" i="3" s="1"/>
  <c r="G41" i="2"/>
  <c r="C41" i="3" s="1"/>
  <c r="G38" i="2"/>
  <c r="C38" i="3" s="1"/>
  <c r="G26" i="2"/>
  <c r="C26" i="3" s="1"/>
  <c r="G22" i="2"/>
  <c r="C22" i="3" s="1"/>
  <c r="G14" i="2"/>
  <c r="C14" i="3" s="1"/>
  <c r="G19" i="2"/>
  <c r="C19" i="3" s="1"/>
  <c r="G15" i="2"/>
  <c r="C15" i="3" s="1"/>
  <c r="G13" i="2"/>
  <c r="C13" i="3" s="1"/>
  <c r="G9" i="2"/>
  <c r="C9" i="3" s="1"/>
  <c r="G23" i="2"/>
  <c r="C23" i="3" s="1"/>
  <c r="G28" i="2"/>
  <c r="C28" i="3" s="1"/>
  <c r="G30" i="2"/>
  <c r="C30" i="3" s="1"/>
  <c r="G32" i="2"/>
  <c r="C32" i="3" s="1"/>
  <c r="G33" i="2"/>
  <c r="C33" i="3" s="1"/>
  <c r="G35" i="2"/>
  <c r="C35" i="3" s="1"/>
  <c r="G51" i="2"/>
  <c r="C51" i="3" s="1"/>
  <c r="G61" i="2"/>
  <c r="C61" i="3" s="1"/>
  <c r="G63" i="2"/>
  <c r="C63" i="3" s="1"/>
  <c r="G72" i="2"/>
  <c r="C72" i="3" s="1"/>
  <c r="G64" i="2"/>
  <c r="C64" i="3" s="1"/>
  <c r="G45" i="2"/>
  <c r="C45" i="3" s="1"/>
  <c r="G66" i="2"/>
  <c r="C66" i="3" s="1"/>
  <c r="G39" i="2"/>
  <c r="C39" i="3" s="1"/>
  <c r="G37" i="2"/>
  <c r="C37" i="3" s="1"/>
  <c r="G36" i="2"/>
  <c r="C36" i="3" s="1"/>
  <c r="G78" i="2"/>
  <c r="C78" i="3" s="1"/>
  <c r="G17" i="2"/>
  <c r="C17" i="3" s="1"/>
  <c r="G4" i="2"/>
  <c r="C4" i="3" s="1"/>
  <c r="G82" i="2"/>
  <c r="C82" i="3" s="1"/>
  <c r="G18" i="2"/>
  <c r="C18" i="3" s="1"/>
  <c r="G11" i="2"/>
  <c r="C11" i="3" s="1"/>
  <c r="G77" i="2"/>
  <c r="C77" i="3" s="1"/>
  <c r="G10" i="2"/>
  <c r="C10" i="3" s="1"/>
  <c r="G76" i="2"/>
  <c r="C76" i="3" s="1"/>
  <c r="G12" i="2"/>
  <c r="C12" i="3" s="1"/>
  <c r="G68" i="2"/>
  <c r="C68" i="3" s="1"/>
  <c r="G16" i="2"/>
  <c r="C16" i="3" s="1"/>
  <c r="G21" i="2"/>
  <c r="C21" i="3" s="1"/>
  <c r="G75" i="2"/>
  <c r="C75" i="3" s="1"/>
  <c r="G20" i="2"/>
  <c r="C20" i="3" s="1"/>
  <c r="G74" i="2"/>
  <c r="C74" i="3" s="1"/>
  <c r="G73" i="2"/>
  <c r="C73" i="3" s="1"/>
  <c r="G29" i="2"/>
  <c r="C29" i="3" s="1"/>
  <c r="G24" i="2"/>
  <c r="C24" i="3" s="1"/>
  <c r="G46" i="2"/>
  <c r="C46" i="3" s="1"/>
  <c r="G50" i="2"/>
  <c r="C50" i="3" s="1"/>
  <c r="G62" i="2"/>
  <c r="C62" i="3" s="1"/>
  <c r="G65" i="2"/>
  <c r="C65" i="3" s="1"/>
  <c r="G67" i="2"/>
  <c r="C67" i="3" s="1"/>
  <c r="G31" i="2"/>
  <c r="C31" i="3" s="1"/>
  <c r="G40" i="2"/>
  <c r="C40" i="3" s="1"/>
  <c r="G43" i="2"/>
  <c r="C43" i="3" s="1"/>
  <c r="B4" i="3"/>
  <c r="D5" i="3" s="1"/>
  <c r="G60" i="2"/>
  <c r="C60" i="3" s="1"/>
  <c r="G69" i="2"/>
  <c r="C69" i="3" s="1"/>
  <c r="G59" i="2"/>
  <c r="C59" i="3" s="1"/>
  <c r="G70" i="2"/>
  <c r="C70" i="3" s="1"/>
  <c r="G58" i="2"/>
  <c r="C58" i="3" s="1"/>
  <c r="G49" i="2"/>
  <c r="C49" i="3" s="1"/>
  <c r="G57" i="2"/>
  <c r="C57" i="3" s="1"/>
  <c r="G53" i="2"/>
  <c r="C53" i="3" s="1"/>
  <c r="G56" i="2"/>
  <c r="C56" i="3" s="1"/>
  <c r="G83" i="2"/>
  <c r="C83" i="3" s="1"/>
  <c r="G55" i="2"/>
  <c r="C55" i="3" s="1"/>
  <c r="G54" i="2"/>
  <c r="C54" i="3" s="1"/>
  <c r="G81" i="2"/>
  <c r="C81" i="3" s="1"/>
  <c r="G52" i="2"/>
  <c r="C52" i="3" s="1"/>
  <c r="G34" i="2"/>
  <c r="C34" i="3" s="1"/>
  <c r="G80" i="2"/>
  <c r="C80" i="3" s="1"/>
  <c r="G71" i="2"/>
  <c r="C71" i="3" s="1"/>
  <c r="G27" i="2"/>
  <c r="C27" i="3" s="1"/>
  <c r="G48" i="2"/>
  <c r="C48" i="3" s="1"/>
  <c r="G47" i="2"/>
  <c r="C47" i="3" s="1"/>
  <c r="G7" i="2"/>
  <c r="C7" i="3" s="1"/>
  <c r="G6" i="2"/>
  <c r="C6" i="3" s="1"/>
  <c r="G44" i="2"/>
  <c r="C44" i="3" s="1"/>
  <c r="G79" i="2"/>
  <c r="C79" i="3" s="1"/>
  <c r="G30" i="6"/>
  <c r="G29" i="6"/>
  <c r="G28" i="6"/>
  <c r="D57" i="3"/>
  <c r="D37" i="3"/>
  <c r="D65" i="3"/>
  <c r="H33" i="4" l="1"/>
  <c r="D28" i="5" s="1"/>
  <c r="G28" i="5" s="1"/>
  <c r="H28" i="5" s="1"/>
  <c r="K33" i="4"/>
  <c r="D29" i="5" s="1"/>
  <c r="G29" i="5" s="1"/>
  <c r="H29" i="5" s="1"/>
  <c r="D27" i="5"/>
  <c r="G27" i="5" s="1"/>
  <c r="H27" i="5" s="1"/>
  <c r="G33" i="4"/>
  <c r="J33" i="4"/>
  <c r="F33" i="6"/>
  <c r="H33" i="6" s="1"/>
  <c r="I33" i="6" s="1"/>
  <c r="F33" i="4"/>
  <c r="I33" i="4"/>
  <c r="I32" i="4"/>
  <c r="F32" i="4"/>
  <c r="F32" i="6" s="1"/>
  <c r="H32" i="6" s="1"/>
  <c r="I32" i="6" s="1"/>
  <c r="J32" i="4"/>
  <c r="G32" i="4"/>
  <c r="H32" i="4"/>
  <c r="K32" i="4"/>
  <c r="F31" i="4"/>
  <c r="F31" i="6" s="1"/>
  <c r="H31" i="6" s="1"/>
  <c r="I31" i="6" s="1"/>
  <c r="I31" i="4"/>
  <c r="H31" i="4"/>
  <c r="D25" i="5" s="1"/>
  <c r="G25" i="5" s="1"/>
  <c r="H25" i="5" s="1"/>
  <c r="K31" i="4"/>
  <c r="D26" i="5" s="1"/>
  <c r="G26" i="5" s="1"/>
  <c r="H26" i="5" s="1"/>
  <c r="D24" i="5"/>
  <c r="G24" i="5" s="1"/>
  <c r="H24" i="5" s="1"/>
  <c r="G31" i="4"/>
  <c r="J31" i="4"/>
  <c r="G30" i="4"/>
  <c r="J30" i="4"/>
  <c r="F30" i="4"/>
  <c r="F30" i="6" s="1"/>
  <c r="H30" i="6" s="1"/>
  <c r="I30" i="6" s="1"/>
  <c r="I30" i="4"/>
  <c r="H30" i="4"/>
  <c r="K30" i="4"/>
  <c r="I29" i="4"/>
  <c r="F29" i="4"/>
  <c r="F29" i="6" s="1"/>
  <c r="H29" i="6" s="1"/>
  <c r="I29" i="6" s="1"/>
  <c r="H29" i="4"/>
  <c r="K29" i="4"/>
  <c r="G29" i="4"/>
  <c r="J29" i="4"/>
  <c r="F28" i="4"/>
  <c r="F28" i="6" s="1"/>
  <c r="H28" i="6" s="1"/>
  <c r="I28" i="6" s="1"/>
  <c r="I28" i="4"/>
  <c r="H28" i="4"/>
  <c r="K28" i="4"/>
  <c r="G28" i="4"/>
  <c r="J28" i="4"/>
  <c r="G27" i="4"/>
  <c r="J27" i="4"/>
  <c r="F27" i="6"/>
  <c r="H27" i="6" s="1"/>
  <c r="I27" i="6" s="1"/>
  <c r="F27" i="4"/>
  <c r="I27" i="4"/>
  <c r="H27" i="4"/>
  <c r="D22" i="5" s="1"/>
  <c r="G22" i="5" s="1"/>
  <c r="H22" i="5" s="1"/>
  <c r="K27" i="4"/>
  <c r="D23" i="5" s="1"/>
  <c r="G23" i="5" s="1"/>
  <c r="H23" i="5" s="1"/>
  <c r="D21" i="5"/>
  <c r="G21" i="5" s="1"/>
  <c r="H21" i="5" s="1"/>
  <c r="F26" i="6"/>
  <c r="H26" i="6" s="1"/>
  <c r="I26" i="6" s="1"/>
  <c r="F26" i="4"/>
  <c r="I26" i="4"/>
  <c r="G26" i="4"/>
  <c r="J26" i="4"/>
  <c r="H26" i="4"/>
  <c r="K26" i="4"/>
  <c r="H25" i="4"/>
  <c r="K25" i="4"/>
  <c r="G25" i="4"/>
  <c r="J25" i="4"/>
  <c r="F25" i="4"/>
  <c r="F25" i="6" s="1"/>
  <c r="H25" i="6" s="1"/>
  <c r="I25" i="6" s="1"/>
  <c r="I25" i="4"/>
  <c r="H24" i="4"/>
  <c r="K24" i="4"/>
  <c r="F24" i="4"/>
  <c r="F24" i="6" s="1"/>
  <c r="H24" i="6" s="1"/>
  <c r="I24" i="6" s="1"/>
  <c r="I24" i="4"/>
  <c r="G24" i="4"/>
  <c r="J24" i="4"/>
  <c r="G23" i="4"/>
  <c r="J23" i="4"/>
  <c r="H23" i="4"/>
  <c r="D19" i="5" s="1"/>
  <c r="G19" i="5" s="1"/>
  <c r="H19" i="5" s="1"/>
  <c r="K23" i="4"/>
  <c r="D20" i="5" s="1"/>
  <c r="G20" i="5" s="1"/>
  <c r="D18" i="5"/>
  <c r="G18" i="5" s="1"/>
  <c r="H18" i="5" s="1"/>
  <c r="F23" i="4"/>
  <c r="F23" i="6" s="1"/>
  <c r="H23" i="6" s="1"/>
  <c r="I23" i="6" s="1"/>
  <c r="I23" i="4"/>
  <c r="H22" i="4"/>
  <c r="K22" i="4"/>
  <c r="F22" i="6"/>
  <c r="H22" i="6" s="1"/>
  <c r="I22" i="6" s="1"/>
  <c r="F22" i="4"/>
  <c r="I22" i="4"/>
  <c r="G22" i="4"/>
  <c r="J22" i="4"/>
  <c r="F21" i="4"/>
  <c r="F21" i="6" s="1"/>
  <c r="H21" i="6" s="1"/>
  <c r="I21" i="6" s="1"/>
  <c r="I21" i="4"/>
  <c r="H21" i="4"/>
  <c r="K21" i="4"/>
  <c r="G21" i="4"/>
  <c r="J21" i="4"/>
  <c r="I20" i="4"/>
  <c r="F20" i="4"/>
  <c r="F20" i="6" s="1"/>
  <c r="H20" i="6" s="1"/>
  <c r="I20" i="6" s="1"/>
  <c r="H20" i="4"/>
  <c r="K20" i="4"/>
  <c r="G20" i="4"/>
  <c r="J20" i="4"/>
  <c r="H19" i="4"/>
  <c r="D16" i="5" s="1"/>
  <c r="G16" i="5" s="1"/>
  <c r="D15" i="5"/>
  <c r="G15" i="5" s="1"/>
  <c r="H15" i="5" s="1"/>
  <c r="K19" i="4"/>
  <c r="D17" i="5" s="1"/>
  <c r="G17" i="5" s="1"/>
  <c r="H17" i="5" s="1"/>
  <c r="G19" i="4"/>
  <c r="J19" i="4"/>
  <c r="F19" i="4"/>
  <c r="F19" i="6" s="1"/>
  <c r="H19" i="6" s="1"/>
  <c r="I19" i="6" s="1"/>
  <c r="I19" i="4"/>
  <c r="G18" i="4"/>
  <c r="J18" i="4"/>
  <c r="K18" i="4"/>
  <c r="H18" i="4"/>
  <c r="F18" i="4"/>
  <c r="F18" i="6" s="1"/>
  <c r="H18" i="6" s="1"/>
  <c r="I18" i="6" s="1"/>
  <c r="I18" i="4"/>
  <c r="K17" i="4"/>
  <c r="H17" i="4"/>
  <c r="G17" i="4"/>
  <c r="J17" i="4"/>
  <c r="F17" i="4"/>
  <c r="F17" i="6" s="1"/>
  <c r="H17" i="6" s="1"/>
  <c r="I17" i="6" s="1"/>
  <c r="I17" i="4"/>
  <c r="K16" i="4"/>
  <c r="H16" i="4"/>
  <c r="I16" i="4"/>
  <c r="F16" i="4"/>
  <c r="F16" i="6" s="1"/>
  <c r="H16" i="6" s="1"/>
  <c r="I16" i="6" s="1"/>
  <c r="J16" i="4"/>
  <c r="G16" i="4"/>
  <c r="G15" i="4"/>
  <c r="J15" i="4"/>
  <c r="H15" i="4"/>
  <c r="D13" i="5" s="1"/>
  <c r="G13" i="5" s="1"/>
  <c r="H13" i="5" s="1"/>
  <c r="D12" i="5"/>
  <c r="G12" i="5" s="1"/>
  <c r="H12" i="5" s="1"/>
  <c r="K15" i="4"/>
  <c r="D14" i="5" s="1"/>
  <c r="G14" i="5" s="1"/>
  <c r="F15" i="4"/>
  <c r="F15" i="6" s="1"/>
  <c r="H15" i="6" s="1"/>
  <c r="I15" i="6" s="1"/>
  <c r="I15" i="4"/>
  <c r="F14" i="4"/>
  <c r="F14" i="6" s="1"/>
  <c r="H14" i="6" s="1"/>
  <c r="I14" i="6" s="1"/>
  <c r="I14" i="4"/>
  <c r="H14" i="4"/>
  <c r="K14" i="4"/>
  <c r="G14" i="4"/>
  <c r="J14" i="4"/>
  <c r="F13" i="4"/>
  <c r="I13" i="4"/>
  <c r="F13" i="6"/>
  <c r="H13" i="6" s="1"/>
  <c r="I13" i="6" s="1"/>
  <c r="G13" i="4"/>
  <c r="J13" i="4"/>
  <c r="H13" i="4"/>
  <c r="K13" i="4"/>
  <c r="F12" i="4"/>
  <c r="F12" i="6" s="1"/>
  <c r="H12" i="6" s="1"/>
  <c r="I12" i="6" s="1"/>
  <c r="I12" i="4"/>
  <c r="H12" i="4"/>
  <c r="K12" i="4"/>
  <c r="G12" i="4"/>
  <c r="J12" i="4"/>
  <c r="G11" i="4"/>
  <c r="J11" i="4"/>
  <c r="F11" i="4"/>
  <c r="F11" i="6" s="1"/>
  <c r="H11" i="6" s="1"/>
  <c r="I11" i="6" s="1"/>
  <c r="I11" i="4"/>
  <c r="H11" i="4"/>
  <c r="D10" i="5" s="1"/>
  <c r="G10" i="5" s="1"/>
  <c r="H10" i="5" s="1"/>
  <c r="K11" i="4"/>
  <c r="D11" i="5" s="1"/>
  <c r="G11" i="5" s="1"/>
  <c r="H11" i="5" s="1"/>
  <c r="D9" i="5"/>
  <c r="G9" i="5" s="1"/>
  <c r="H9" i="5" s="1"/>
  <c r="H10" i="4"/>
  <c r="K10" i="4"/>
  <c r="G10" i="4"/>
  <c r="J10" i="4"/>
  <c r="F10" i="4"/>
  <c r="F10" i="6" s="1"/>
  <c r="H10" i="6" s="1"/>
  <c r="I10" i="6" s="1"/>
  <c r="I10" i="4"/>
  <c r="H9" i="4"/>
  <c r="K9" i="4"/>
  <c r="G9" i="4"/>
  <c r="J9" i="4"/>
  <c r="F9" i="4"/>
  <c r="F9" i="6" s="1"/>
  <c r="H9" i="6" s="1"/>
  <c r="I9" i="6" s="1"/>
  <c r="I9" i="4"/>
  <c r="H8" i="4"/>
  <c r="K8" i="4"/>
  <c r="G8" i="4"/>
  <c r="J8" i="4"/>
  <c r="F8" i="4"/>
  <c r="F8" i="6" s="1"/>
  <c r="H8" i="6" s="1"/>
  <c r="I8" i="6" s="1"/>
  <c r="I8" i="4"/>
  <c r="G7" i="4"/>
  <c r="J7" i="4"/>
  <c r="H7" i="4"/>
  <c r="D7" i="5" s="1"/>
  <c r="G7" i="5" s="1"/>
  <c r="K7" i="4"/>
  <c r="D8" i="5" s="1"/>
  <c r="G8" i="5" s="1"/>
  <c r="D6" i="5"/>
  <c r="G6" i="5" s="1"/>
  <c r="H6" i="5" s="1"/>
  <c r="F7" i="4"/>
  <c r="F7" i="6" s="1"/>
  <c r="H7" i="6" s="1"/>
  <c r="I7" i="6" s="1"/>
  <c r="I7" i="4"/>
  <c r="H5" i="4"/>
  <c r="K5" i="4"/>
  <c r="G5" i="4"/>
  <c r="J5" i="4"/>
  <c r="F5" i="4"/>
  <c r="F5" i="6" s="1"/>
  <c r="H5" i="6" s="1"/>
  <c r="I5" i="6" s="1"/>
  <c r="I5" i="4"/>
  <c r="H4" i="4"/>
  <c r="K4" i="4"/>
  <c r="F4" i="6"/>
  <c r="H4" i="6" s="1"/>
  <c r="I4" i="6" s="1"/>
  <c r="F4" i="4"/>
  <c r="I4" i="4"/>
  <c r="G4" i="4"/>
  <c r="J4" i="4"/>
  <c r="F6" i="4"/>
  <c r="F6" i="6" s="1"/>
  <c r="H6" i="6" s="1"/>
  <c r="I6" i="6" s="1"/>
  <c r="I6" i="4"/>
  <c r="H20" i="5" l="1"/>
  <c r="H16" i="5"/>
  <c r="H8" i="5"/>
  <c r="H14" i="5"/>
  <c r="H7" i="5"/>
</calcChain>
</file>

<file path=xl/sharedStrings.xml><?xml version="1.0" encoding="utf-8"?>
<sst xmlns="http://schemas.openxmlformats.org/spreadsheetml/2006/main" count="321" uniqueCount="181">
  <si>
    <t>RPG 角色成长与关卡难度数值表（作品集示例）</t>
  </si>
  <si>
    <t>设计目的</t>
  </si>
  <si>
    <t>本表用于展示基础数值策划能力：通过角色成长、经验消耗、敌人强度、伤害公式、关卡难度和资源产出消耗，构建一个可调整、可验证的简化 RPG 数值框架。表内大部分关键数据由参数和公式驱动，便于观察数值变化对玩家体验的影响。</t>
  </si>
  <si>
    <t>使用方式：修改下方参数区（B列）后，其余表格公式会自动联动，用于模拟不同成长速度、敌人强度和资源压力。</t>
  </si>
  <si>
    <t>关键参数区（可调整）</t>
  </si>
  <si>
    <t>参数</t>
  </si>
  <si>
    <t>数值</t>
  </si>
  <si>
    <t>说明</t>
  </si>
  <si>
    <t>单位/备注</t>
  </si>
  <si>
    <t>等级上限</t>
  </si>
  <si>
    <t>角色可成长的最高等级</t>
  </si>
  <si>
    <t>级</t>
  </si>
  <si>
    <t>基础生命值</t>
  </si>
  <si>
    <t>1级角色生命值</t>
  </si>
  <si>
    <t>HP</t>
  </si>
  <si>
    <t>生命成长率</t>
  </si>
  <si>
    <t>每级生命成长的指数倍率</t>
  </si>
  <si>
    <t>百分比</t>
  </si>
  <si>
    <t>基础攻击力</t>
  </si>
  <si>
    <t>1级角色攻击力</t>
  </si>
  <si>
    <t>ATK</t>
  </si>
  <si>
    <t>攻击成长率</t>
  </si>
  <si>
    <t>每级攻击成长的指数倍率</t>
  </si>
  <si>
    <t>基础防御力</t>
  </si>
  <si>
    <t>1级角色防御力</t>
  </si>
  <si>
    <t>DEF</t>
  </si>
  <si>
    <t>防御成长率</t>
  </si>
  <si>
    <t>每级防御成长的指数倍率</t>
  </si>
  <si>
    <t>战力-生命权重</t>
  </si>
  <si>
    <t>战力评分中生命值的折算权重</t>
  </si>
  <si>
    <t>系数</t>
  </si>
  <si>
    <t>战力-攻击权重</t>
  </si>
  <si>
    <t>战力评分中攻击力的折算权重</t>
  </si>
  <si>
    <t>战力-防御权重</t>
  </si>
  <si>
    <t>战力评分中防御力的折算权重</t>
  </si>
  <si>
    <t>升级经验基数</t>
  </si>
  <si>
    <t>2级所需经验的基准值</t>
  </si>
  <si>
    <t>EXP</t>
  </si>
  <si>
    <t>经验成长率</t>
  </si>
  <si>
    <t>升级经验逐级递增速度</t>
  </si>
  <si>
    <t>伤害保底比例</t>
  </si>
  <si>
    <t>攻击低于防御时的最低伤害比例</t>
  </si>
  <si>
    <t>角色属性成长表</t>
  </si>
  <si>
    <t>等级</t>
  </si>
  <si>
    <t>生命值HP</t>
  </si>
  <si>
    <t>攻击力ATK</t>
  </si>
  <si>
    <t>防御力DEF</t>
  </si>
  <si>
    <t>战力评分</t>
  </si>
  <si>
    <t>升级所需经验</t>
  </si>
  <si>
    <t>累计经验</t>
  </si>
  <si>
    <t>经验消耗曲线</t>
  </si>
  <si>
    <t>相邻等级经验增幅</t>
  </si>
  <si>
    <t>设计观察</t>
  </si>
  <si>
    <t>前期：升级成本低，强化即时反馈</t>
  </si>
  <si>
    <t>中期：成本明显上升，开始产生资源规划</t>
  </si>
  <si>
    <t>后期：成长放缓，控制毕业速度</t>
  </si>
  <si>
    <t>敌人属性设计表</t>
  </si>
  <si>
    <t>关卡</t>
  </si>
  <si>
    <t>推荐等级</t>
  </si>
  <si>
    <t>普通怪HP</t>
  </si>
  <si>
    <t>普通怪ATK</t>
  </si>
  <si>
    <t>普通怪DEF</t>
  </si>
  <si>
    <t>精英怪HP</t>
  </si>
  <si>
    <t>精英怪ATK</t>
  </si>
  <si>
    <t>精英怪DEF</t>
  </si>
  <si>
    <t>Boss HP</t>
  </si>
  <si>
    <t>Boss ATK</t>
  </si>
  <si>
    <t>Boss DEF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</si>
  <si>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</si>
  <si>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</si>
  <si>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</si>
  <si>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</si>
  <si>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</si>
  <si>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</si>
  <si>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</si>
  <si>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</si>
  <si>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</si>
  <si>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</si>
  <si>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</si>
  <si>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</si>
  <si>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</si>
  <si>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</si>
  <si>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</si>
  <si>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</si>
  <si>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</si>
  <si>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</si>
  <si>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</si>
  <si>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</si>
  <si>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</si>
  <si>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</si>
  <si>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</si>
  <si>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</si>
  <si>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</si>
  <si>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</si>
  <si>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</si>
  <si>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</si>
  <si>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</si>
  <si>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</si>
  <si>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伤害公式与战斗压力示例</t>
  </si>
  <si>
    <t>简化伤害公式：最终伤害 = MAX(攻击力 × 技能倍率 × 克制系数 - 敌方防御, 攻击力 × 伤害保底比例)。本公式用于展示数值验证思路，不代表任何实际游戏公式。</t>
  </si>
  <si>
    <t>角色等级</t>
  </si>
  <si>
    <t>攻击力</t>
  </si>
  <si>
    <t>敌人类型</t>
  </si>
  <si>
    <t>敌方防御</t>
  </si>
  <si>
    <t>技能倍率</t>
  </si>
  <si>
    <t>克制系数</t>
  </si>
  <si>
    <t>单次伤害</t>
  </si>
  <si>
    <t>预计击杀次数</t>
  </si>
  <si>
    <t>普通怪</t>
  </si>
  <si>
    <t>精英怪</t>
  </si>
  <si>
    <t>Boss</t>
  </si>
  <si>
    <t>关卡难度配置表</t>
  </si>
  <si>
    <t>普通怪数量</t>
  </si>
  <si>
    <t>精英怪数量</t>
  </si>
  <si>
    <t>Boss数量</t>
  </si>
  <si>
    <t>敌方总HP</t>
  </si>
  <si>
    <t>玩家战力</t>
  </si>
  <si>
    <t>难度指数</t>
  </si>
  <si>
    <t>评级</t>
  </si>
  <si>
    <t>金币奖励</t>
  </si>
  <si>
    <t>材料掉落</t>
  </si>
  <si>
    <t>资源产出与消耗表</t>
  </si>
  <si>
    <t>阶段</t>
  </si>
  <si>
    <t>等级范围</t>
  </si>
  <si>
    <t>目标</t>
  </si>
  <si>
    <t>经验消耗</t>
  </si>
  <si>
    <t>金币消耗</t>
  </si>
  <si>
    <t>低级材料需求</t>
  </si>
  <si>
    <t>中级材料需求</t>
  </si>
  <si>
    <t>高级材料需求</t>
  </si>
  <si>
    <t>推荐资源来源</t>
  </si>
  <si>
    <t>前期</t>
  </si>
  <si>
    <t>1-20</t>
  </si>
  <si>
    <t>建立基础队伍</t>
  </si>
  <si>
    <t>主线低级关卡 / 新手任务</t>
  </si>
  <si>
    <t>强化即时反馈，降低入门门槛</t>
  </si>
  <si>
    <t>中期</t>
  </si>
  <si>
    <t>21-40</t>
  </si>
  <si>
    <t>形成主力阵容</t>
  </si>
  <si>
    <t>材料本 / 活动商店</t>
  </si>
  <si>
    <t>开始形成资源规划压力</t>
  </si>
  <si>
    <t>成型期</t>
  </si>
  <si>
    <t>41-60</t>
  </si>
  <si>
    <t>关键角色成型</t>
  </si>
  <si>
    <t>活动商店 / 高收益关卡</t>
  </si>
  <si>
    <t>引导玩家参与活动并做取舍</t>
  </si>
  <si>
    <t>后期</t>
  </si>
  <si>
    <t>61-80</t>
  </si>
  <si>
    <t>高难与深度培养</t>
  </si>
  <si>
    <t>高难关卡 / 版本活动</t>
  </si>
  <si>
    <t>延长长期目标，控制毕业速度</t>
  </si>
  <si>
    <t>平衡性观察与作品集说明</t>
  </si>
  <si>
    <t>本页用于把表格结果转化为策划表达，说明这套数值表想展示什么能力，以及后续如何继续优化。</t>
  </si>
  <si>
    <t>观察维度</t>
  </si>
  <si>
    <t>当前设计</t>
  </si>
  <si>
    <t>可优化方向</t>
  </si>
  <si>
    <t>成长节奏</t>
  </si>
  <si>
    <t>1-20级升级成本低，角色属性增长明显，适合给玩家快速正反馈。</t>
  </si>
  <si>
    <t>可进一步加入新手礼包或首通奖励，强化早期体验。</t>
  </si>
  <si>
    <t>资源压力</t>
  </si>
  <si>
    <t>21-60级经验和金币消耗显著上升，玩家开始需要选择优先培养对象。</t>
  </si>
  <si>
    <t>可通过活动商店或阶段任务缓解关键节点卡点。</t>
  </si>
  <si>
    <t>关卡难度</t>
  </si>
  <si>
    <t>关卡难度指数围绕推荐等级设计，Boss关卡形成阶段性压力。</t>
  </si>
  <si>
    <t>可增加关卡机制变量，而不仅依赖血量和攻击。</t>
  </si>
  <si>
    <t>敌人成长</t>
  </si>
  <si>
    <t>普通怪、精英怪、Boss使用不同倍率，形成层级差异。</t>
  </si>
  <si>
    <t>可针对不同敌人类型加入速度、抗性、技能等维度。</t>
  </si>
  <si>
    <t>公式验证</t>
  </si>
  <si>
    <t>伤害公式用攻击、防御、倍率、保底伤害构成，可用于快速检查击杀次数。</t>
  </si>
  <si>
    <t>可加入暴击、元素克制、技能冷却和群攻收益。</t>
  </si>
  <si>
    <t>作品集价值</t>
  </si>
  <si>
    <t>通过可调整参数和联动公式，展示基础数值策划、Excel建表和系统验证能力。</t>
  </si>
  <si>
    <t>后续可补充可视化图表和设计文档 PDF。</t>
  </si>
  <si>
    <t>简历描述建议</t>
  </si>
  <si>
    <t>RPG 角色成长与关卡难度数值表｜个人数值设计作品</t>
  </si>
  <si>
    <t>- 使用 Excel 设计角色 1—80 级属性成长、经验消耗、敌人强度、关卡推荐等级和奖励投放表。</t>
  </si>
  <si>
    <t>- 构建基础伤害公式，模拟不同等级阶段玩家与普通怪、精英怪、Boss 的战斗压力。</t>
  </si>
  <si>
    <t>- 通过调整成长倍率、敌方血量、防御和资源消耗，观察数值膨胀、成长断层和资源卡点问题。</t>
  </si>
  <si>
    <t>- 输出数值表、公式说明和简要平衡性分析，用于展示基础数值策划能力。</t>
  </si>
  <si>
    <t>核心设计思路：前期成长反馈明显，中期开始形成资源规划压力，后期成长放缓以避免数值膨胀；敌人强度和关卡难度随推荐等级递增，使玩家在推荐等级附近有适度挑战。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</si>
</sst>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0" xfId="1" applyFont="1"/>
    <xf numFmtId="0" fontId="1" fillId="3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1" fontId="2" fillId="0" borderId="0" xfId="1" applyNumberFormat="1" applyFont="1"/>
    <xf numFmtId="10" fontId="2" fillId="0" borderId="0" xfId="1" applyNumberFormat="1" applyFo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wrapText="1"/>
    </xf>
    <xf numFmtId="3" fontId="2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角色属性成长曲线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生命值HP</c:v>
          </c:tx>
          <c:cat>
            <c:numRef>
              <c:f>'1_角色属性成长'!$A$4:$A$83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'1_角色属性成长'!$B$4:$B$83</c:f>
              <c:numCache>
                <c:formatCode>General</c:formatCode>
                <c:ptCount val="80"/>
                <c:pt idx="0">
                  <c:v>1000</c:v>
                </c:pt>
                <c:pt idx="1">
                  <c:v>1055</c:v>
                </c:pt>
                <c:pt idx="2">
                  <c:v>1113</c:v>
                </c:pt>
                <c:pt idx="3">
                  <c:v>1174</c:v>
                </c:pt>
                <c:pt idx="4">
                  <c:v>1239</c:v>
                </c:pt>
                <c:pt idx="5">
                  <c:v>1307</c:v>
                </c:pt>
                <c:pt idx="6">
                  <c:v>1379</c:v>
                </c:pt>
                <c:pt idx="7">
                  <c:v>1455</c:v>
                </c:pt>
                <c:pt idx="8">
                  <c:v>1535</c:v>
                </c:pt>
                <c:pt idx="9">
                  <c:v>1619</c:v>
                </c:pt>
                <c:pt idx="10">
                  <c:v>1708</c:v>
                </c:pt>
                <c:pt idx="11">
                  <c:v>1802</c:v>
                </c:pt>
                <c:pt idx="12">
                  <c:v>1901</c:v>
                </c:pt>
                <c:pt idx="13">
                  <c:v>2006</c:v>
                </c:pt>
                <c:pt idx="14">
                  <c:v>2116</c:v>
                </c:pt>
                <c:pt idx="15">
                  <c:v>2232</c:v>
                </c:pt>
                <c:pt idx="16">
                  <c:v>2355</c:v>
                </c:pt>
                <c:pt idx="17">
                  <c:v>2485</c:v>
                </c:pt>
                <c:pt idx="18">
                  <c:v>2621</c:v>
                </c:pt>
                <c:pt idx="19">
                  <c:v>2766</c:v>
                </c:pt>
                <c:pt idx="20">
                  <c:v>2918</c:v>
                </c:pt>
                <c:pt idx="21">
                  <c:v>3078</c:v>
                </c:pt>
                <c:pt idx="22">
                  <c:v>3248</c:v>
                </c:pt>
                <c:pt idx="23">
                  <c:v>3426</c:v>
                </c:pt>
                <c:pt idx="24">
                  <c:v>3615</c:v>
                </c:pt>
                <c:pt idx="25">
                  <c:v>3813</c:v>
                </c:pt>
                <c:pt idx="26">
                  <c:v>4023</c:v>
                </c:pt>
                <c:pt idx="27">
                  <c:v>4244</c:v>
                </c:pt>
                <c:pt idx="28">
                  <c:v>4478</c:v>
                </c:pt>
                <c:pt idx="29">
                  <c:v>4724</c:v>
                </c:pt>
                <c:pt idx="30">
                  <c:v>4984</c:v>
                </c:pt>
                <c:pt idx="31">
                  <c:v>5258</c:v>
                </c:pt>
                <c:pt idx="32">
                  <c:v>5547</c:v>
                </c:pt>
                <c:pt idx="33">
                  <c:v>5852</c:v>
                </c:pt>
                <c:pt idx="34">
                  <c:v>6174</c:v>
                </c:pt>
                <c:pt idx="35">
                  <c:v>6514</c:v>
                </c:pt>
                <c:pt idx="36">
                  <c:v>6872</c:v>
                </c:pt>
                <c:pt idx="37">
                  <c:v>7250</c:v>
                </c:pt>
                <c:pt idx="38">
                  <c:v>7649</c:v>
                </c:pt>
                <c:pt idx="39">
                  <c:v>8069</c:v>
                </c:pt>
                <c:pt idx="40">
                  <c:v>8513</c:v>
                </c:pt>
                <c:pt idx="41">
                  <c:v>8982</c:v>
                </c:pt>
                <c:pt idx="42">
                  <c:v>9476</c:v>
                </c:pt>
                <c:pt idx="43">
                  <c:v>9997</c:v>
                </c:pt>
                <c:pt idx="44">
                  <c:v>10546</c:v>
                </c:pt>
                <c:pt idx="45">
                  <c:v>11127</c:v>
                </c:pt>
                <c:pt idx="46">
                  <c:v>11739</c:v>
                </c:pt>
                <c:pt idx="47">
                  <c:v>12384</c:v>
                </c:pt>
                <c:pt idx="48">
                  <c:v>13065</c:v>
                </c:pt>
                <c:pt idx="49">
                  <c:v>13784</c:v>
                </c:pt>
                <c:pt idx="50">
                  <c:v>14542</c:v>
                </c:pt>
                <c:pt idx="51">
                  <c:v>15342</c:v>
                </c:pt>
                <c:pt idx="52">
                  <c:v>16186</c:v>
                </c:pt>
                <c:pt idx="53">
                  <c:v>17076</c:v>
                </c:pt>
                <c:pt idx="54">
                  <c:v>18015</c:v>
                </c:pt>
                <c:pt idx="55">
                  <c:v>19006</c:v>
                </c:pt>
                <c:pt idx="56">
                  <c:v>20051</c:v>
                </c:pt>
                <c:pt idx="57">
                  <c:v>21154</c:v>
                </c:pt>
                <c:pt idx="58">
                  <c:v>22317</c:v>
                </c:pt>
                <c:pt idx="59">
                  <c:v>23545</c:v>
                </c:pt>
                <c:pt idx="60">
                  <c:v>24840</c:v>
                </c:pt>
                <c:pt idx="61">
                  <c:v>26206</c:v>
                </c:pt>
                <c:pt idx="62">
                  <c:v>27647</c:v>
                </c:pt>
                <c:pt idx="63">
                  <c:v>29168</c:v>
                </c:pt>
                <c:pt idx="64">
                  <c:v>30772</c:v>
                </c:pt>
                <c:pt idx="65">
                  <c:v>32465</c:v>
                </c:pt>
                <c:pt idx="66">
                  <c:v>34250</c:v>
                </c:pt>
                <c:pt idx="67">
                  <c:v>36134</c:v>
                </c:pt>
                <c:pt idx="68">
                  <c:v>38121</c:v>
                </c:pt>
                <c:pt idx="69">
                  <c:v>40218</c:v>
                </c:pt>
                <c:pt idx="70">
                  <c:v>42430</c:v>
                </c:pt>
                <c:pt idx="71">
                  <c:v>44764</c:v>
                </c:pt>
                <c:pt idx="72">
                  <c:v>47226</c:v>
                </c:pt>
                <c:pt idx="73">
                  <c:v>49823</c:v>
                </c:pt>
                <c:pt idx="74">
                  <c:v>52563</c:v>
                </c:pt>
                <c:pt idx="75">
                  <c:v>55454</c:v>
                </c:pt>
                <c:pt idx="76">
                  <c:v>58504</c:v>
                </c:pt>
                <c:pt idx="77">
                  <c:v>61722</c:v>
                </c:pt>
                <c:pt idx="78">
                  <c:v>65117</c:v>
                </c:pt>
                <c:pt idx="79">
                  <c:v>68698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5-437F-97CB-371C59C1751E}"/>
            </c:ext>
          </c:extLst>
        </c:ser>
        <c:ser>
          <c:idx val="1"/>
          <c:order val="1"/>
          <c:tx>
            <c:v>攻击力ATK</c:v>
          </c:tx>
          <c:cat>
            <c:numRef>
              <c:f>'1_角色属性成长'!$A$4:$A$83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'1_角色属性成长'!$C$4:$C$83</c:f>
              <c:numCache>
                <c:formatCode>General</c:formatCode>
                <c:ptCount val="80"/>
                <c:pt idx="0">
                  <c:v>100</c:v>
                </c:pt>
                <c:pt idx="1">
                  <c:v>105</c:v>
                </c:pt>
                <c:pt idx="2">
                  <c:v>109</c:v>
                </c:pt>
                <c:pt idx="3">
                  <c:v>114</c:v>
                </c:pt>
                <c:pt idx="4">
                  <c:v>119</c:v>
                </c:pt>
                <c:pt idx="5">
                  <c:v>125</c:v>
                </c:pt>
                <c:pt idx="6">
                  <c:v>130</c:v>
                </c:pt>
                <c:pt idx="7">
                  <c:v>136</c:v>
                </c:pt>
                <c:pt idx="8">
                  <c:v>142</c:v>
                </c:pt>
                <c:pt idx="9">
                  <c:v>149</c:v>
                </c:pt>
                <c:pt idx="10">
                  <c:v>155</c:v>
                </c:pt>
                <c:pt idx="11">
                  <c:v>162</c:v>
                </c:pt>
                <c:pt idx="12">
                  <c:v>170</c:v>
                </c:pt>
                <c:pt idx="13">
                  <c:v>177</c:v>
                </c:pt>
                <c:pt idx="14">
                  <c:v>185</c:v>
                </c:pt>
                <c:pt idx="15">
                  <c:v>194</c:v>
                </c:pt>
                <c:pt idx="16">
                  <c:v>202</c:v>
                </c:pt>
                <c:pt idx="17">
                  <c:v>211</c:v>
                </c:pt>
                <c:pt idx="18">
                  <c:v>221</c:v>
                </c:pt>
                <c:pt idx="19">
                  <c:v>231</c:v>
                </c:pt>
                <c:pt idx="20">
                  <c:v>241</c:v>
                </c:pt>
                <c:pt idx="21">
                  <c:v>252</c:v>
                </c:pt>
                <c:pt idx="22">
                  <c:v>263</c:v>
                </c:pt>
                <c:pt idx="23">
                  <c:v>275</c:v>
                </c:pt>
                <c:pt idx="24">
                  <c:v>288</c:v>
                </c:pt>
                <c:pt idx="25">
                  <c:v>301</c:v>
                </c:pt>
                <c:pt idx="26">
                  <c:v>314</c:v>
                </c:pt>
                <c:pt idx="27">
                  <c:v>328</c:v>
                </c:pt>
                <c:pt idx="28">
                  <c:v>343</c:v>
                </c:pt>
                <c:pt idx="29">
                  <c:v>358</c:v>
                </c:pt>
                <c:pt idx="30">
                  <c:v>375</c:v>
                </c:pt>
                <c:pt idx="31">
                  <c:v>391</c:v>
                </c:pt>
                <c:pt idx="32">
                  <c:v>409</c:v>
                </c:pt>
                <c:pt idx="33">
                  <c:v>427</c:v>
                </c:pt>
                <c:pt idx="34">
                  <c:v>447</c:v>
                </c:pt>
                <c:pt idx="35">
                  <c:v>467</c:v>
                </c:pt>
                <c:pt idx="36">
                  <c:v>488</c:v>
                </c:pt>
                <c:pt idx="37">
                  <c:v>510</c:v>
                </c:pt>
                <c:pt idx="38">
                  <c:v>533</c:v>
                </c:pt>
                <c:pt idx="39">
                  <c:v>557</c:v>
                </c:pt>
                <c:pt idx="40">
                  <c:v>582</c:v>
                </c:pt>
                <c:pt idx="41">
                  <c:v>608</c:v>
                </c:pt>
                <c:pt idx="42">
                  <c:v>635</c:v>
                </c:pt>
                <c:pt idx="43">
                  <c:v>664</c:v>
                </c:pt>
                <c:pt idx="44">
                  <c:v>694</c:v>
                </c:pt>
                <c:pt idx="45">
                  <c:v>725</c:v>
                </c:pt>
                <c:pt idx="46">
                  <c:v>757</c:v>
                </c:pt>
                <c:pt idx="47">
                  <c:v>792</c:v>
                </c:pt>
                <c:pt idx="48">
                  <c:v>827</c:v>
                </c:pt>
                <c:pt idx="49">
                  <c:v>864</c:v>
                </c:pt>
                <c:pt idx="50">
                  <c:v>903</c:v>
                </c:pt>
                <c:pt idx="51">
                  <c:v>944</c:v>
                </c:pt>
                <c:pt idx="52">
                  <c:v>986</c:v>
                </c:pt>
                <c:pt idx="53">
                  <c:v>1031</c:v>
                </c:pt>
                <c:pt idx="54">
                  <c:v>1077</c:v>
                </c:pt>
                <c:pt idx="55">
                  <c:v>1126</c:v>
                </c:pt>
                <c:pt idx="56">
                  <c:v>1176</c:v>
                </c:pt>
                <c:pt idx="57">
                  <c:v>1229</c:v>
                </c:pt>
                <c:pt idx="58">
                  <c:v>1285</c:v>
                </c:pt>
                <c:pt idx="59">
                  <c:v>1342</c:v>
                </c:pt>
                <c:pt idx="60">
                  <c:v>1403</c:v>
                </c:pt>
                <c:pt idx="61">
                  <c:v>1466</c:v>
                </c:pt>
                <c:pt idx="62">
                  <c:v>1532</c:v>
                </c:pt>
                <c:pt idx="63">
                  <c:v>1601</c:v>
                </c:pt>
                <c:pt idx="64">
                  <c:v>1673</c:v>
                </c:pt>
                <c:pt idx="65">
                  <c:v>1748</c:v>
                </c:pt>
                <c:pt idx="66">
                  <c:v>1827</c:v>
                </c:pt>
                <c:pt idx="67">
                  <c:v>1909</c:v>
                </c:pt>
                <c:pt idx="68">
                  <c:v>1995</c:v>
                </c:pt>
                <c:pt idx="69">
                  <c:v>2085</c:v>
                </c:pt>
                <c:pt idx="70">
                  <c:v>2178</c:v>
                </c:pt>
                <c:pt idx="71">
                  <c:v>2276</c:v>
                </c:pt>
                <c:pt idx="72">
                  <c:v>2379</c:v>
                </c:pt>
                <c:pt idx="73">
                  <c:v>2486</c:v>
                </c:pt>
                <c:pt idx="74">
                  <c:v>2598</c:v>
                </c:pt>
                <c:pt idx="75">
                  <c:v>2715</c:v>
                </c:pt>
                <c:pt idx="76">
                  <c:v>2837</c:v>
                </c:pt>
                <c:pt idx="77">
                  <c:v>2965</c:v>
                </c:pt>
                <c:pt idx="78">
                  <c:v>3098</c:v>
                </c:pt>
                <c:pt idx="79">
                  <c:v>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5-437F-97CB-371C59C1751E}"/>
            </c:ext>
          </c:extLst>
        </c:ser>
        <c:ser>
          <c:idx val="2"/>
          <c:order val="2"/>
          <c:tx>
            <c:v>防御力DEF</c:v>
          </c:tx>
          <c:cat>
            <c:numRef>
              <c:f>'1_角色属性成长'!$A$4:$A$83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'1_角色属性成长'!$D$4:$D$83</c:f>
              <c:numCache>
                <c:formatCode>General</c:formatCode>
                <c:ptCount val="80"/>
                <c:pt idx="0">
                  <c:v>55</c:v>
                </c:pt>
                <c:pt idx="1">
                  <c:v>57</c:v>
                </c:pt>
                <c:pt idx="2">
                  <c:v>59</c:v>
                </c:pt>
                <c:pt idx="3">
                  <c:v>62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72</c:v>
                </c:pt>
                <c:pt idx="8">
                  <c:v>75</c:v>
                </c:pt>
                <c:pt idx="9">
                  <c:v>78</c:v>
                </c:pt>
                <c:pt idx="10">
                  <c:v>81</c:v>
                </c:pt>
                <c:pt idx="11">
                  <c:v>85</c:v>
                </c:pt>
                <c:pt idx="12">
                  <c:v>88</c:v>
                </c:pt>
                <c:pt idx="13">
                  <c:v>92</c:v>
                </c:pt>
                <c:pt idx="14">
                  <c:v>95</c:v>
                </c:pt>
                <c:pt idx="15">
                  <c:v>99</c:v>
                </c:pt>
                <c:pt idx="16">
                  <c:v>103</c:v>
                </c:pt>
                <c:pt idx="17">
                  <c:v>107</c:v>
                </c:pt>
                <c:pt idx="18">
                  <c:v>111</c:v>
                </c:pt>
                <c:pt idx="19">
                  <c:v>116</c:v>
                </c:pt>
                <c:pt idx="20">
                  <c:v>121</c:v>
                </c:pt>
                <c:pt idx="21">
                  <c:v>125</c:v>
                </c:pt>
                <c:pt idx="22">
                  <c:v>130</c:v>
                </c:pt>
                <c:pt idx="23">
                  <c:v>136</c:v>
                </c:pt>
                <c:pt idx="24">
                  <c:v>141</c:v>
                </c:pt>
                <c:pt idx="25">
                  <c:v>147</c:v>
                </c:pt>
                <c:pt idx="26">
                  <c:v>152</c:v>
                </c:pt>
                <c:pt idx="27">
                  <c:v>159</c:v>
                </c:pt>
                <c:pt idx="28">
                  <c:v>165</c:v>
                </c:pt>
                <c:pt idx="29">
                  <c:v>172</c:v>
                </c:pt>
                <c:pt idx="30">
                  <c:v>178</c:v>
                </c:pt>
                <c:pt idx="31">
                  <c:v>186</c:v>
                </c:pt>
                <c:pt idx="32">
                  <c:v>193</c:v>
                </c:pt>
                <c:pt idx="33">
                  <c:v>201</c:v>
                </c:pt>
                <c:pt idx="34">
                  <c:v>209</c:v>
                </c:pt>
                <c:pt idx="35">
                  <c:v>217</c:v>
                </c:pt>
                <c:pt idx="36">
                  <c:v>226</c:v>
                </c:pt>
                <c:pt idx="37">
                  <c:v>235</c:v>
                </c:pt>
                <c:pt idx="38">
                  <c:v>244</c:v>
                </c:pt>
                <c:pt idx="39">
                  <c:v>254</c:v>
                </c:pt>
                <c:pt idx="40">
                  <c:v>264</c:v>
                </c:pt>
                <c:pt idx="41">
                  <c:v>275</c:v>
                </c:pt>
                <c:pt idx="42">
                  <c:v>286</c:v>
                </c:pt>
                <c:pt idx="43">
                  <c:v>297</c:v>
                </c:pt>
                <c:pt idx="44">
                  <c:v>309</c:v>
                </c:pt>
                <c:pt idx="45">
                  <c:v>321</c:v>
                </c:pt>
                <c:pt idx="46">
                  <c:v>334</c:v>
                </c:pt>
                <c:pt idx="47">
                  <c:v>347</c:v>
                </c:pt>
                <c:pt idx="48">
                  <c:v>361</c:v>
                </c:pt>
                <c:pt idx="49">
                  <c:v>376</c:v>
                </c:pt>
                <c:pt idx="50">
                  <c:v>391</c:v>
                </c:pt>
                <c:pt idx="51">
                  <c:v>407</c:v>
                </c:pt>
                <c:pt idx="52">
                  <c:v>423</c:v>
                </c:pt>
                <c:pt idx="53">
                  <c:v>440</c:v>
                </c:pt>
                <c:pt idx="54">
                  <c:v>457</c:v>
                </c:pt>
                <c:pt idx="55">
                  <c:v>476</c:v>
                </c:pt>
                <c:pt idx="56">
                  <c:v>495</c:v>
                </c:pt>
                <c:pt idx="57">
                  <c:v>514</c:v>
                </c:pt>
                <c:pt idx="58">
                  <c:v>535</c:v>
                </c:pt>
                <c:pt idx="59">
                  <c:v>556</c:v>
                </c:pt>
                <c:pt idx="60">
                  <c:v>579</c:v>
                </c:pt>
                <c:pt idx="61">
                  <c:v>602</c:v>
                </c:pt>
                <c:pt idx="62">
                  <c:v>626</c:v>
                </c:pt>
                <c:pt idx="63">
                  <c:v>651</c:v>
                </c:pt>
                <c:pt idx="64">
                  <c:v>677</c:v>
                </c:pt>
                <c:pt idx="65">
                  <c:v>704</c:v>
                </c:pt>
                <c:pt idx="66">
                  <c:v>732</c:v>
                </c:pt>
                <c:pt idx="67">
                  <c:v>761</c:v>
                </c:pt>
                <c:pt idx="68">
                  <c:v>792</c:v>
                </c:pt>
                <c:pt idx="69">
                  <c:v>823</c:v>
                </c:pt>
                <c:pt idx="70">
                  <c:v>856</c:v>
                </c:pt>
                <c:pt idx="71">
                  <c:v>891</c:v>
                </c:pt>
                <c:pt idx="72">
                  <c:v>926</c:v>
                </c:pt>
                <c:pt idx="73">
                  <c:v>963</c:v>
                </c:pt>
                <c:pt idx="74">
                  <c:v>1002</c:v>
                </c:pt>
                <c:pt idx="75">
                  <c:v>1042</c:v>
                </c:pt>
                <c:pt idx="76">
                  <c:v>1084</c:v>
                </c:pt>
                <c:pt idx="77">
                  <c:v>1127</c:v>
                </c:pt>
                <c:pt idx="78">
                  <c:v>1172</c:v>
                </c:pt>
                <c:pt idx="79">
                  <c:v>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E5-437F-97CB-371C59C17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升级经验与累计经验曲线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升级所需经验</c:v>
          </c:tx>
          <c:cat>
            <c:numRef>
              <c:f>'2_经验消耗曲线'!$A$4:$A$83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'2_经验消耗曲线'!$B$4:$B$83</c:f>
              <c:numCache>
                <c:formatCode>General</c:formatCode>
                <c:ptCount val="80"/>
                <c:pt idx="0">
                  <c:v>0</c:v>
                </c:pt>
                <c:pt idx="1">
                  <c:v>80</c:v>
                </c:pt>
                <c:pt idx="2">
                  <c:v>85</c:v>
                </c:pt>
                <c:pt idx="3">
                  <c:v>91</c:v>
                </c:pt>
                <c:pt idx="4">
                  <c:v>97</c:v>
                </c:pt>
                <c:pt idx="5">
                  <c:v>103</c:v>
                </c:pt>
                <c:pt idx="6">
                  <c:v>110</c:v>
                </c:pt>
                <c:pt idx="7">
                  <c:v>117</c:v>
                </c:pt>
                <c:pt idx="8">
                  <c:v>124</c:v>
                </c:pt>
                <c:pt idx="9">
                  <c:v>132</c:v>
                </c:pt>
                <c:pt idx="10">
                  <c:v>141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181</c:v>
                </c:pt>
                <c:pt idx="15">
                  <c:v>193</c:v>
                </c:pt>
                <c:pt idx="16">
                  <c:v>206</c:v>
                </c:pt>
                <c:pt idx="17">
                  <c:v>219</c:v>
                </c:pt>
                <c:pt idx="18">
                  <c:v>233</c:v>
                </c:pt>
                <c:pt idx="19">
                  <c:v>249</c:v>
                </c:pt>
                <c:pt idx="20">
                  <c:v>265</c:v>
                </c:pt>
                <c:pt idx="21">
                  <c:v>282</c:v>
                </c:pt>
                <c:pt idx="22">
                  <c:v>300</c:v>
                </c:pt>
                <c:pt idx="23">
                  <c:v>320</c:v>
                </c:pt>
                <c:pt idx="24">
                  <c:v>341</c:v>
                </c:pt>
                <c:pt idx="25">
                  <c:v>363</c:v>
                </c:pt>
                <c:pt idx="26">
                  <c:v>386</c:v>
                </c:pt>
                <c:pt idx="27">
                  <c:v>411</c:v>
                </c:pt>
                <c:pt idx="28">
                  <c:v>438</c:v>
                </c:pt>
                <c:pt idx="29">
                  <c:v>467</c:v>
                </c:pt>
                <c:pt idx="30">
                  <c:v>497</c:v>
                </c:pt>
                <c:pt idx="31">
                  <c:v>529</c:v>
                </c:pt>
                <c:pt idx="32">
                  <c:v>564</c:v>
                </c:pt>
                <c:pt idx="33">
                  <c:v>600</c:v>
                </c:pt>
                <c:pt idx="34">
                  <c:v>639</c:v>
                </c:pt>
                <c:pt idx="35">
                  <c:v>681</c:v>
                </c:pt>
                <c:pt idx="36">
                  <c:v>725</c:v>
                </c:pt>
                <c:pt idx="37">
                  <c:v>772</c:v>
                </c:pt>
                <c:pt idx="38">
                  <c:v>822</c:v>
                </c:pt>
                <c:pt idx="39">
                  <c:v>876</c:v>
                </c:pt>
                <c:pt idx="40">
                  <c:v>933</c:v>
                </c:pt>
                <c:pt idx="41">
                  <c:v>993</c:v>
                </c:pt>
                <c:pt idx="42">
                  <c:v>1058</c:v>
                </c:pt>
                <c:pt idx="43">
                  <c:v>1127</c:v>
                </c:pt>
                <c:pt idx="44">
                  <c:v>1200</c:v>
                </c:pt>
                <c:pt idx="45">
                  <c:v>1278</c:v>
                </c:pt>
                <c:pt idx="46">
                  <c:v>1361</c:v>
                </c:pt>
                <c:pt idx="47">
                  <c:v>1449</c:v>
                </c:pt>
                <c:pt idx="48">
                  <c:v>1544</c:v>
                </c:pt>
                <c:pt idx="49">
                  <c:v>1644</c:v>
                </c:pt>
                <c:pt idx="50">
                  <c:v>1751</c:v>
                </c:pt>
                <c:pt idx="51">
                  <c:v>1865</c:v>
                </c:pt>
                <c:pt idx="52">
                  <c:v>1986</c:v>
                </c:pt>
                <c:pt idx="53">
                  <c:v>2115</c:v>
                </c:pt>
                <c:pt idx="54">
                  <c:v>2252</c:v>
                </c:pt>
                <c:pt idx="55">
                  <c:v>2399</c:v>
                </c:pt>
                <c:pt idx="56">
                  <c:v>2555</c:v>
                </c:pt>
                <c:pt idx="57">
                  <c:v>2721</c:v>
                </c:pt>
                <c:pt idx="58">
                  <c:v>2897</c:v>
                </c:pt>
                <c:pt idx="59">
                  <c:v>3086</c:v>
                </c:pt>
                <c:pt idx="60">
                  <c:v>3286</c:v>
                </c:pt>
                <c:pt idx="61">
                  <c:v>3500</c:v>
                </c:pt>
                <c:pt idx="62">
                  <c:v>3727</c:v>
                </c:pt>
                <c:pt idx="63">
                  <c:v>3970</c:v>
                </c:pt>
                <c:pt idx="64">
                  <c:v>4228</c:v>
                </c:pt>
                <c:pt idx="65">
                  <c:v>4503</c:v>
                </c:pt>
                <c:pt idx="66">
                  <c:v>4795</c:v>
                </c:pt>
                <c:pt idx="67">
                  <c:v>5107</c:v>
                </c:pt>
                <c:pt idx="68">
                  <c:v>5439</c:v>
                </c:pt>
                <c:pt idx="69">
                  <c:v>5792</c:v>
                </c:pt>
                <c:pt idx="70">
                  <c:v>6169</c:v>
                </c:pt>
                <c:pt idx="71">
                  <c:v>6570</c:v>
                </c:pt>
                <c:pt idx="72">
                  <c:v>6997</c:v>
                </c:pt>
                <c:pt idx="73">
                  <c:v>7452</c:v>
                </c:pt>
                <c:pt idx="74">
                  <c:v>7936</c:v>
                </c:pt>
                <c:pt idx="75">
                  <c:v>8452</c:v>
                </c:pt>
                <c:pt idx="76">
                  <c:v>9001</c:v>
                </c:pt>
                <c:pt idx="77">
                  <c:v>9587</c:v>
                </c:pt>
                <c:pt idx="78">
                  <c:v>10210</c:v>
                </c:pt>
                <c:pt idx="79">
                  <c:v>10873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7-4E01-A03A-73BC9F941E7F}"/>
            </c:ext>
          </c:extLst>
        </c:ser>
        <c:ser>
          <c:idx val="1"/>
          <c:order val="1"/>
          <c:tx>
            <c:v>累计经验</c:v>
          </c:tx>
          <c:cat>
            <c:numRef>
              <c:f>'2_经验消耗曲线'!$A$4:$A$83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'2_经验消耗曲线'!$C$4:$C$83</c:f>
              <c:numCache>
                <c:formatCode>General</c:formatCode>
                <c:ptCount val="80"/>
                <c:pt idx="0">
                  <c:v>0</c:v>
                </c:pt>
                <c:pt idx="1">
                  <c:v>80</c:v>
                </c:pt>
                <c:pt idx="2">
                  <c:v>165</c:v>
                </c:pt>
                <c:pt idx="3">
                  <c:v>256</c:v>
                </c:pt>
                <c:pt idx="4">
                  <c:v>353</c:v>
                </c:pt>
                <c:pt idx="5">
                  <c:v>456</c:v>
                </c:pt>
                <c:pt idx="6">
                  <c:v>566</c:v>
                </c:pt>
                <c:pt idx="7">
                  <c:v>683</c:v>
                </c:pt>
                <c:pt idx="8">
                  <c:v>807</c:v>
                </c:pt>
                <c:pt idx="9">
                  <c:v>939</c:v>
                </c:pt>
                <c:pt idx="10">
                  <c:v>1080</c:v>
                </c:pt>
                <c:pt idx="11">
                  <c:v>1230</c:v>
                </c:pt>
                <c:pt idx="12">
                  <c:v>1390</c:v>
                </c:pt>
                <c:pt idx="13">
                  <c:v>1560</c:v>
                </c:pt>
                <c:pt idx="14">
                  <c:v>1741</c:v>
                </c:pt>
                <c:pt idx="15">
                  <c:v>1934</c:v>
                </c:pt>
                <c:pt idx="16">
                  <c:v>2140</c:v>
                </c:pt>
                <c:pt idx="17">
                  <c:v>2359</c:v>
                </c:pt>
                <c:pt idx="18">
                  <c:v>2592</c:v>
                </c:pt>
                <c:pt idx="19">
                  <c:v>2841</c:v>
                </c:pt>
                <c:pt idx="20">
                  <c:v>3106</c:v>
                </c:pt>
                <c:pt idx="21">
                  <c:v>3388</c:v>
                </c:pt>
                <c:pt idx="22">
                  <c:v>3688</c:v>
                </c:pt>
                <c:pt idx="23">
                  <c:v>4008</c:v>
                </c:pt>
                <c:pt idx="24">
                  <c:v>4349</c:v>
                </c:pt>
                <c:pt idx="25">
                  <c:v>4712</c:v>
                </c:pt>
                <c:pt idx="26">
                  <c:v>5098</c:v>
                </c:pt>
                <c:pt idx="27">
                  <c:v>5509</c:v>
                </c:pt>
                <c:pt idx="28">
                  <c:v>5947</c:v>
                </c:pt>
                <c:pt idx="29">
                  <c:v>6414</c:v>
                </c:pt>
                <c:pt idx="30">
                  <c:v>6911</c:v>
                </c:pt>
                <c:pt idx="31">
                  <c:v>7440</c:v>
                </c:pt>
                <c:pt idx="32">
                  <c:v>8004</c:v>
                </c:pt>
                <c:pt idx="33">
                  <c:v>8604</c:v>
                </c:pt>
                <c:pt idx="34">
                  <c:v>9243</c:v>
                </c:pt>
                <c:pt idx="35">
                  <c:v>9924</c:v>
                </c:pt>
                <c:pt idx="36">
                  <c:v>10649</c:v>
                </c:pt>
                <c:pt idx="37">
                  <c:v>11421</c:v>
                </c:pt>
                <c:pt idx="38">
                  <c:v>12243</c:v>
                </c:pt>
                <c:pt idx="39">
                  <c:v>13119</c:v>
                </c:pt>
                <c:pt idx="40">
                  <c:v>14052</c:v>
                </c:pt>
                <c:pt idx="41">
                  <c:v>15045</c:v>
                </c:pt>
                <c:pt idx="42">
                  <c:v>16103</c:v>
                </c:pt>
                <c:pt idx="43">
                  <c:v>17230</c:v>
                </c:pt>
                <c:pt idx="44">
                  <c:v>18430</c:v>
                </c:pt>
                <c:pt idx="45">
                  <c:v>19708</c:v>
                </c:pt>
                <c:pt idx="46">
                  <c:v>21069</c:v>
                </c:pt>
                <c:pt idx="47">
                  <c:v>22518</c:v>
                </c:pt>
                <c:pt idx="48">
                  <c:v>24062</c:v>
                </c:pt>
                <c:pt idx="49">
                  <c:v>25706</c:v>
                </c:pt>
                <c:pt idx="50">
                  <c:v>27457</c:v>
                </c:pt>
                <c:pt idx="51">
                  <c:v>29322</c:v>
                </c:pt>
                <c:pt idx="52">
                  <c:v>31308</c:v>
                </c:pt>
                <c:pt idx="53">
                  <c:v>33423</c:v>
                </c:pt>
                <c:pt idx="54">
                  <c:v>35675</c:v>
                </c:pt>
                <c:pt idx="55">
                  <c:v>38074</c:v>
                </c:pt>
                <c:pt idx="56">
                  <c:v>40629</c:v>
                </c:pt>
                <c:pt idx="57">
                  <c:v>43350</c:v>
                </c:pt>
                <c:pt idx="58">
                  <c:v>46247</c:v>
                </c:pt>
                <c:pt idx="59">
                  <c:v>49333</c:v>
                </c:pt>
                <c:pt idx="60">
                  <c:v>52619</c:v>
                </c:pt>
                <c:pt idx="61">
                  <c:v>56119</c:v>
                </c:pt>
                <c:pt idx="62">
                  <c:v>59846</c:v>
                </c:pt>
                <c:pt idx="63">
                  <c:v>63816</c:v>
                </c:pt>
                <c:pt idx="64">
                  <c:v>68044</c:v>
                </c:pt>
                <c:pt idx="65">
                  <c:v>72547</c:v>
                </c:pt>
                <c:pt idx="66">
                  <c:v>77342</c:v>
                </c:pt>
                <c:pt idx="67">
                  <c:v>82449</c:v>
                </c:pt>
                <c:pt idx="68">
                  <c:v>87888</c:v>
                </c:pt>
                <c:pt idx="69">
                  <c:v>93680</c:v>
                </c:pt>
                <c:pt idx="70">
                  <c:v>99849</c:v>
                </c:pt>
                <c:pt idx="71">
                  <c:v>106419</c:v>
                </c:pt>
                <c:pt idx="72">
                  <c:v>113416</c:v>
                </c:pt>
                <c:pt idx="73">
                  <c:v>120868</c:v>
                </c:pt>
                <c:pt idx="74">
                  <c:v>128804</c:v>
                </c:pt>
                <c:pt idx="75">
                  <c:v>137256</c:v>
                </c:pt>
                <c:pt idx="76">
                  <c:v>146257</c:v>
                </c:pt>
                <c:pt idx="77">
                  <c:v>155844</c:v>
                </c:pt>
                <c:pt idx="78">
                  <c:v>166054</c:v>
                </c:pt>
                <c:pt idx="79">
                  <c:v>176927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27-4E01-A03A-73BC9F941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普通怪生命成长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推荐等级</c:v>
          </c:tx>
          <c:cat>
            <c:strRef>
              <c:f>'3_敌人属性设计'!$A$4:$A$33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'3_敌人属性设计'!$B$4:$B$33</c:f>
              <c:numCache>
                <c:formatCode>General</c:formatCode>
                <c:ptCount val="30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33</c:v>
                </c:pt>
                <c:pt idx="13">
                  <c:v>35</c:v>
                </c:pt>
                <c:pt idx="14">
                  <c:v>38</c:v>
                </c:pt>
                <c:pt idx="15">
                  <c:v>40</c:v>
                </c:pt>
                <c:pt idx="16">
                  <c:v>43</c:v>
                </c:pt>
                <c:pt idx="17">
                  <c:v>45</c:v>
                </c:pt>
                <c:pt idx="18">
                  <c:v>48</c:v>
                </c:pt>
                <c:pt idx="19">
                  <c:v>50</c:v>
                </c:pt>
                <c:pt idx="20">
                  <c:v>53</c:v>
                </c:pt>
                <c:pt idx="21">
                  <c:v>55</c:v>
                </c:pt>
                <c:pt idx="22">
                  <c:v>58</c:v>
                </c:pt>
                <c:pt idx="23">
                  <c:v>60</c:v>
                </c:pt>
                <c:pt idx="24">
                  <c:v>63</c:v>
                </c:pt>
                <c:pt idx="25">
                  <c:v>65</c:v>
                </c:pt>
                <c:pt idx="26">
                  <c:v>68</c:v>
                </c:pt>
                <c:pt idx="27">
                  <c:v>70</c:v>
                </c:pt>
                <c:pt idx="28">
                  <c:v>73</c:v>
                </c:pt>
                <c:pt idx="2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E-4576-ACCB-DD0E86E51BB7}"/>
            </c:ext>
          </c:extLst>
        </c:ser>
        <c:ser>
          <c:idx val="1"/>
          <c:order val="1"/>
          <c:tx>
            <c:v>普通怪HP</c:v>
          </c:tx>
          <c:cat>
            <c:strRef>
              <c:f>'3_敌人属性设计'!$A$4:$A$33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'3_敌人属性设计'!$C$4:$C$33</c:f>
              <c:numCache>
                <c:formatCode>General</c:formatCode>
                <c:ptCount val="30"/>
                <c:pt idx="0">
                  <c:v>316</c:v>
                </c:pt>
                <c:pt idx="1">
                  <c:v>357</c:v>
                </c:pt>
                <c:pt idx="2">
                  <c:v>426</c:v>
                </c:pt>
                <c:pt idx="3">
                  <c:v>481</c:v>
                </c:pt>
                <c:pt idx="4">
                  <c:v>572</c:v>
                </c:pt>
                <c:pt idx="5">
                  <c:v>646</c:v>
                </c:pt>
                <c:pt idx="6">
                  <c:v>769</c:v>
                </c:pt>
                <c:pt idx="7">
                  <c:v>867</c:v>
                </c:pt>
                <c:pt idx="8">
                  <c:v>1032</c:v>
                </c:pt>
                <c:pt idx="9">
                  <c:v>1164</c:v>
                </c:pt>
                <c:pt idx="10">
                  <c:v>1384</c:v>
                </c:pt>
                <c:pt idx="11">
                  <c:v>1561</c:v>
                </c:pt>
                <c:pt idx="12">
                  <c:v>1856</c:v>
                </c:pt>
                <c:pt idx="13">
                  <c:v>2092</c:v>
                </c:pt>
                <c:pt idx="14">
                  <c:v>2487</c:v>
                </c:pt>
                <c:pt idx="15">
                  <c:v>2802</c:v>
                </c:pt>
                <c:pt idx="16">
                  <c:v>3330</c:v>
                </c:pt>
                <c:pt idx="17">
                  <c:v>3750</c:v>
                </c:pt>
                <c:pt idx="18">
                  <c:v>4456</c:v>
                </c:pt>
                <c:pt idx="19">
                  <c:v>5017</c:v>
                </c:pt>
                <c:pt idx="20">
                  <c:v>5960</c:v>
                </c:pt>
                <c:pt idx="21">
                  <c:v>6709</c:v>
                </c:pt>
                <c:pt idx="22">
                  <c:v>7967</c:v>
                </c:pt>
                <c:pt idx="23">
                  <c:v>8966</c:v>
                </c:pt>
                <c:pt idx="24">
                  <c:v>10644</c:v>
                </c:pt>
                <c:pt idx="25">
                  <c:v>11976</c:v>
                </c:pt>
                <c:pt idx="26">
                  <c:v>14215</c:v>
                </c:pt>
                <c:pt idx="27">
                  <c:v>15991</c:v>
                </c:pt>
                <c:pt idx="28">
                  <c:v>18975</c:v>
                </c:pt>
                <c:pt idx="29">
                  <c:v>21341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E-4576-ACCB-DD0E86E51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关卡难度指数变化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推荐等级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'5_关卡难度配置'!$B$4:$B$33</c:f>
              <c:numCache>
                <c:formatCode>General</c:formatCode>
                <c:ptCount val="30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33</c:v>
                </c:pt>
                <c:pt idx="13">
                  <c:v>35</c:v>
                </c:pt>
                <c:pt idx="14">
                  <c:v>38</c:v>
                </c:pt>
                <c:pt idx="15">
                  <c:v>40</c:v>
                </c:pt>
                <c:pt idx="16">
                  <c:v>43</c:v>
                </c:pt>
                <c:pt idx="17">
                  <c:v>45</c:v>
                </c:pt>
                <c:pt idx="18">
                  <c:v>48</c:v>
                </c:pt>
                <c:pt idx="19">
                  <c:v>50</c:v>
                </c:pt>
                <c:pt idx="20">
                  <c:v>53</c:v>
                </c:pt>
                <c:pt idx="21">
                  <c:v>55</c:v>
                </c:pt>
                <c:pt idx="22">
                  <c:v>58</c:v>
                </c:pt>
                <c:pt idx="23">
                  <c:v>60</c:v>
                </c:pt>
                <c:pt idx="24">
                  <c:v>63</c:v>
                </c:pt>
                <c:pt idx="25">
                  <c:v>65</c:v>
                </c:pt>
                <c:pt idx="26">
                  <c:v>68</c:v>
                </c:pt>
                <c:pt idx="27">
                  <c:v>70</c:v>
                </c:pt>
                <c:pt idx="28">
                  <c:v>73</c:v>
                </c:pt>
                <c:pt idx="2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A-4E1A-A910-16D6E70DCB26}"/>
            </c:ext>
          </c:extLst>
        </c:ser>
        <c:ser>
          <c:idx val="1"/>
          <c:order val="1"/>
          <c:tx>
            <c:v>普通怪数量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'5_关卡难度配置'!$C$4:$C$33</c:f>
              <c:numCache>
                <c:formatCode>General</c:formatCode>
                <c:ptCount val="3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A-4E1A-A910-16D6E70DCB26}"/>
            </c:ext>
          </c:extLst>
        </c:ser>
        <c:ser>
          <c:idx val="2"/>
          <c:order val="2"/>
          <c:tx>
            <c:v>精英怪数量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'5_关卡难度配置'!$D$4:$D$33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A-4E1A-A910-16D6E70DCB26}"/>
            </c:ext>
          </c:extLst>
        </c:ser>
        <c:ser>
          <c:idx val="3"/>
          <c:order val="3"/>
          <c:tx>
            <c:v>Boss数量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'5_关卡难度配置'!$E$4:$E$33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8A-4E1A-A910-16D6E70DCB26}"/>
            </c:ext>
          </c:extLst>
        </c:ser>
        <c:ser>
          <c:idx val="4"/>
          <c:order val="4"/>
          <c:tx>
            <c:v>敌方总HP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'5_关卡难度配置'!$F$4:$F$33</c:f>
              <c:numCache>
                <c:formatCode>General</c:formatCode>
                <c:ptCount val="30"/>
                <c:pt idx="0">
                  <c:v>3097</c:v>
                </c:pt>
                <c:pt idx="1">
                  <c:v>3499</c:v>
                </c:pt>
                <c:pt idx="2">
                  <c:v>4175</c:v>
                </c:pt>
                <c:pt idx="3">
                  <c:v>6542</c:v>
                </c:pt>
                <c:pt idx="4">
                  <c:v>11612</c:v>
                </c:pt>
                <c:pt idx="5">
                  <c:v>6977</c:v>
                </c:pt>
                <c:pt idx="6">
                  <c:v>9074</c:v>
                </c:pt>
                <c:pt idx="7">
                  <c:v>12659</c:v>
                </c:pt>
                <c:pt idx="8">
                  <c:v>12178</c:v>
                </c:pt>
                <c:pt idx="9">
                  <c:v>25957</c:v>
                </c:pt>
                <c:pt idx="10">
                  <c:v>17715</c:v>
                </c:pt>
                <c:pt idx="11">
                  <c:v>24352</c:v>
                </c:pt>
                <c:pt idx="12">
                  <c:v>25613</c:v>
                </c:pt>
                <c:pt idx="13">
                  <c:v>28870</c:v>
                </c:pt>
                <c:pt idx="14">
                  <c:v>57948</c:v>
                </c:pt>
                <c:pt idx="15">
                  <c:v>49316</c:v>
                </c:pt>
                <c:pt idx="16">
                  <c:v>49284</c:v>
                </c:pt>
                <c:pt idx="17">
                  <c:v>55500</c:v>
                </c:pt>
                <c:pt idx="18">
                  <c:v>70405</c:v>
                </c:pt>
                <c:pt idx="19">
                  <c:v>140979</c:v>
                </c:pt>
                <c:pt idx="20">
                  <c:v>94168</c:v>
                </c:pt>
                <c:pt idx="21">
                  <c:v>112711</c:v>
                </c:pt>
                <c:pt idx="22">
                  <c:v>133846</c:v>
                </c:pt>
                <c:pt idx="23">
                  <c:v>175734</c:v>
                </c:pt>
                <c:pt idx="24">
                  <c:v>290581</c:v>
                </c:pt>
                <c:pt idx="25">
                  <c:v>213173</c:v>
                </c:pt>
                <c:pt idx="26">
                  <c:v>253027</c:v>
                </c:pt>
                <c:pt idx="27">
                  <c:v>345406</c:v>
                </c:pt>
                <c:pt idx="28">
                  <c:v>356730</c:v>
                </c:pt>
                <c:pt idx="29">
                  <c:v>603951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8A-4E1A-A910-16D6E70DCB26}"/>
            </c:ext>
          </c:extLst>
        </c:ser>
        <c:ser>
          <c:idx val="5"/>
          <c:order val="5"/>
          <c:tx>
            <c:v>玩家战力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'5_关卡难度配置'!$G$4:$G$33</c:f>
              <c:numCache>
                <c:formatCode>General</c:formatCode>
                <c:ptCount val="30"/>
                <c:pt idx="0">
                  <c:v>965</c:v>
                </c:pt>
                <c:pt idx="1">
                  <c:v>1055</c:v>
                </c:pt>
                <c:pt idx="2">
                  <c:v>1207</c:v>
                </c:pt>
                <c:pt idx="3">
                  <c:v>1322</c:v>
                </c:pt>
                <c:pt idx="4">
                  <c:v>1512</c:v>
                </c:pt>
                <c:pt idx="5">
                  <c:v>1649</c:v>
                </c:pt>
                <c:pt idx="6">
                  <c:v>1885</c:v>
                </c:pt>
                <c:pt idx="7">
                  <c:v>2066</c:v>
                </c:pt>
                <c:pt idx="8">
                  <c:v>2358</c:v>
                </c:pt>
                <c:pt idx="9">
                  <c:v>2585</c:v>
                </c:pt>
                <c:pt idx="10">
                  <c:v>2954</c:v>
                </c:pt>
                <c:pt idx="11">
                  <c:v>3231</c:v>
                </c:pt>
                <c:pt idx="12">
                  <c:v>3699</c:v>
                </c:pt>
                <c:pt idx="13">
                  <c:v>4050</c:v>
                </c:pt>
                <c:pt idx="14">
                  <c:v>4635</c:v>
                </c:pt>
                <c:pt idx="15">
                  <c:v>5072</c:v>
                </c:pt>
                <c:pt idx="16">
                  <c:v>5805</c:v>
                </c:pt>
                <c:pt idx="17">
                  <c:v>6357</c:v>
                </c:pt>
                <c:pt idx="18">
                  <c:v>7279</c:v>
                </c:pt>
                <c:pt idx="19">
                  <c:v>7966</c:v>
                </c:pt>
                <c:pt idx="20">
                  <c:v>9127</c:v>
                </c:pt>
                <c:pt idx="21">
                  <c:v>9995</c:v>
                </c:pt>
                <c:pt idx="22">
                  <c:v>11454</c:v>
                </c:pt>
                <c:pt idx="23">
                  <c:v>12545</c:v>
                </c:pt>
                <c:pt idx="24">
                  <c:v>14388</c:v>
                </c:pt>
                <c:pt idx="25">
                  <c:v>15762</c:v>
                </c:pt>
                <c:pt idx="26">
                  <c:v>18073</c:v>
                </c:pt>
                <c:pt idx="27">
                  <c:v>19805</c:v>
                </c:pt>
                <c:pt idx="28">
                  <c:v>22719</c:v>
                </c:pt>
                <c:pt idx="29">
                  <c:v>24902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8A-4E1A-A910-16D6E70DCB26}"/>
            </c:ext>
          </c:extLst>
        </c:ser>
        <c:ser>
          <c:idx val="6"/>
          <c:order val="6"/>
          <c:tx>
            <c:v>难度指数</c:v>
          </c:tx>
          <c:cat>
            <c:strRef>
              <c:f>'5_关卡难度配置'!$A$4:$A$33</c:f>
              <c:strCache>
                <c:ptCount val="30"/>
                <c:pt idx="0">
                  <c:v>S-01</c:v>
                </c:pt>
                <c:pt idx="1">
                  <c:v>S-02</c:v>
                </c:pt>
                <c:pt idx="2">
                  <c:v>S-03</c:v>
                </c:pt>
                <c:pt idx="3">
                  <c:v>S-04</c:v>
                </c:pt>
                <c:pt idx="4">
                  <c:v>S-05</c:v>
                </c:pt>
                <c:pt idx="5">
                  <c:v>S-06</c:v>
                </c:pt>
                <c:pt idx="6">
                  <c:v>S-07</c:v>
                </c:pt>
                <c:pt idx="7">
                  <c:v>S-08</c:v>
                </c:pt>
                <c:pt idx="8">
                  <c:v>S-09</c:v>
                </c:pt>
                <c:pt idx="9">
                  <c:v>S-10</c:v>
                </c:pt>
                <c:pt idx="10">
                  <c:v>S-11</c:v>
                </c:pt>
                <c:pt idx="11">
                  <c:v>S-12</c:v>
                </c:pt>
                <c:pt idx="12">
                  <c:v>S-13</c:v>
                </c:pt>
                <c:pt idx="13">
                  <c:v>S-14</c:v>
                </c:pt>
                <c:pt idx="14">
                  <c:v>S-15</c:v>
                </c:pt>
                <c:pt idx="15">
                  <c:v>S-16</c:v>
                </c:pt>
                <c:pt idx="16">
                  <c:v>S-17</c:v>
                </c:pt>
                <c:pt idx="17">
                  <c:v>S-18</c:v>
                </c:pt>
                <c:pt idx="18">
                  <c:v>S-19</c:v>
                </c:pt>
                <c:pt idx="19">
                  <c:v>S-20</c:v>
                </c:pt>
                <c:pt idx="20">
                  <c:v>S-21</c:v>
                </c:pt>
                <c:pt idx="21">
                  <c:v>S-22</c:v>
                </c:pt>
                <c:pt idx="22">
                  <c:v>S-23</c:v>
                </c:pt>
                <c:pt idx="23">
                  <c:v>S-24</c:v>
                </c:pt>
                <c:pt idx="24">
                  <c:v>S-25</c:v>
                </c:pt>
                <c:pt idx="25">
                  <c:v>S-26</c:v>
                </c:pt>
                <c:pt idx="26">
                  <c:v>S-27</c:v>
                </c:pt>
                <c:pt idx="27">
                  <c:v>S-28</c:v>
                </c:pt>
                <c:pt idx="28">
                  <c:v>S-29</c:v>
                </c:pt>
                <c:pt idx="29">
                  <c:v>S-30</c:v>
                </c:pt>
              </c:strCache>
            </c:strRef>
          </c:cat>
          <c:val>
            <c:numRef>
              <c:f>'5_关卡难度配置'!$H$4:$H$33</c:f>
              <c:numCache>
                <c:formatCode>General</c:formatCode>
                <c:ptCount val="30"/>
                <c:pt idx="0">
                  <c:v>1.1499999999999999</c:v>
                </c:pt>
                <c:pt idx="1">
                  <c:v>1.18</c:v>
                </c:pt>
                <c:pt idx="2">
                  <c:v>1.24</c:v>
                </c:pt>
                <c:pt idx="3">
                  <c:v>1.77</c:v>
                </c:pt>
                <c:pt idx="4">
                  <c:v>2.74</c:v>
                </c:pt>
                <c:pt idx="5">
                  <c:v>1.51</c:v>
                </c:pt>
                <c:pt idx="6">
                  <c:v>1.72</c:v>
                </c:pt>
                <c:pt idx="7">
                  <c:v>2.19</c:v>
                </c:pt>
                <c:pt idx="8">
                  <c:v>1.84</c:v>
                </c:pt>
                <c:pt idx="9">
                  <c:v>3.59</c:v>
                </c:pt>
                <c:pt idx="10">
                  <c:v>2.14</c:v>
                </c:pt>
                <c:pt idx="11">
                  <c:v>2.69</c:v>
                </c:pt>
                <c:pt idx="12">
                  <c:v>2.4700000000000002</c:v>
                </c:pt>
                <c:pt idx="13">
                  <c:v>2.5499999999999998</c:v>
                </c:pt>
                <c:pt idx="14">
                  <c:v>4.47</c:v>
                </c:pt>
                <c:pt idx="15">
                  <c:v>3.47</c:v>
                </c:pt>
                <c:pt idx="16">
                  <c:v>3.03</c:v>
                </c:pt>
                <c:pt idx="17">
                  <c:v>3.12</c:v>
                </c:pt>
                <c:pt idx="18">
                  <c:v>3.45</c:v>
                </c:pt>
                <c:pt idx="19">
                  <c:v>6.32</c:v>
                </c:pt>
                <c:pt idx="20">
                  <c:v>3.68</c:v>
                </c:pt>
                <c:pt idx="21">
                  <c:v>4.03</c:v>
                </c:pt>
                <c:pt idx="22">
                  <c:v>4.17</c:v>
                </c:pt>
                <c:pt idx="23">
                  <c:v>5</c:v>
                </c:pt>
                <c:pt idx="24">
                  <c:v>7.21</c:v>
                </c:pt>
                <c:pt idx="25">
                  <c:v>4.83</c:v>
                </c:pt>
                <c:pt idx="26">
                  <c:v>5</c:v>
                </c:pt>
                <c:pt idx="27">
                  <c:v>6.23</c:v>
                </c:pt>
                <c:pt idx="28">
                  <c:v>5.61</c:v>
                </c:pt>
                <c:pt idx="29">
                  <c:v>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8A-4E1A-A910-16D6E70D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不同成长阶段资源消耗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等级范围</c:v>
          </c:tx>
          <c:invertIfNegative val="1"/>
          <c:cat>
            <c:strRef>
              <c:f>'6_资源产出消耗'!$A$4:$A$7</c:f>
              <c:strCache>
                <c:ptCount val="4"/>
                <c:pt idx="0">
                  <c:v>前期</c:v>
                </c:pt>
                <c:pt idx="1">
                  <c:v>中期</c:v>
                </c:pt>
                <c:pt idx="2">
                  <c:v>成型期</c:v>
                </c:pt>
                <c:pt idx="3">
                  <c:v>后期</c:v>
                </c:pt>
              </c:strCache>
            </c:strRef>
          </c:cat>
          <c:val>
            <c:numRef>
              <c:f>'6_资源产出消耗'!$B$4:$B$7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E-4888-8474-FFBAF4338E59}"/>
            </c:ext>
          </c:extLst>
        </c:ser>
        <c:ser>
          <c:idx val="1"/>
          <c:order val="1"/>
          <c:tx>
            <c:v>目标</c:v>
          </c:tx>
          <c:invertIfNegative val="1"/>
          <c:cat>
            <c:strRef>
              <c:f>'6_资源产出消耗'!$A$4:$A$7</c:f>
              <c:strCache>
                <c:ptCount val="4"/>
                <c:pt idx="0">
                  <c:v>前期</c:v>
                </c:pt>
                <c:pt idx="1">
                  <c:v>中期</c:v>
                </c:pt>
                <c:pt idx="2">
                  <c:v>成型期</c:v>
                </c:pt>
                <c:pt idx="3">
                  <c:v>后期</c:v>
                </c:pt>
              </c:strCache>
            </c:strRef>
          </c:cat>
          <c:val>
            <c:numRef>
              <c:f>'6_资源产出消耗'!$C$4:$C$7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E-4888-8474-FFBAF4338E59}"/>
            </c:ext>
          </c:extLst>
        </c:ser>
        <c:ser>
          <c:idx val="2"/>
          <c:order val="2"/>
          <c:tx>
            <c:v>经验消耗</c:v>
          </c:tx>
          <c:invertIfNegative val="1"/>
          <c:cat>
            <c:strRef>
              <c:f>'6_资源产出消耗'!$A$4:$A$7</c:f>
              <c:strCache>
                <c:ptCount val="4"/>
                <c:pt idx="0">
                  <c:v>前期</c:v>
                </c:pt>
                <c:pt idx="1">
                  <c:v>中期</c:v>
                </c:pt>
                <c:pt idx="2">
                  <c:v>成型期</c:v>
                </c:pt>
                <c:pt idx="3">
                  <c:v>后期</c:v>
                </c:pt>
              </c:strCache>
            </c:strRef>
          </c:cat>
          <c:val>
            <c:numRef>
              <c:f>'6_资源产出消耗'!$D$4:$D$7</c:f>
              <c:numCache>
                <c:formatCode>#,##0</c:formatCode>
                <c:ptCount val="4"/>
                <c:pt idx="0">
                  <c:v>2841</c:v>
                </c:pt>
                <c:pt idx="1">
                  <c:v>10278</c:v>
                </c:pt>
                <c:pt idx="2">
                  <c:v>36214</c:v>
                </c:pt>
                <c:pt idx="3">
                  <c:v>127594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AE-4888-8474-FFBAF4338E59}"/>
            </c:ext>
          </c:extLst>
        </c:ser>
        <c:ser>
          <c:idx val="3"/>
          <c:order val="3"/>
          <c:tx>
            <c:v>金币消耗</c:v>
          </c:tx>
          <c:invertIfNegative val="1"/>
          <c:cat>
            <c:strRef>
              <c:f>'6_资源产出消耗'!$A$4:$A$7</c:f>
              <c:strCache>
                <c:ptCount val="4"/>
                <c:pt idx="0">
                  <c:v>前期</c:v>
                </c:pt>
                <c:pt idx="1">
                  <c:v>中期</c:v>
                </c:pt>
                <c:pt idx="2">
                  <c:v>成型期</c:v>
                </c:pt>
                <c:pt idx="3">
                  <c:v>后期</c:v>
                </c:pt>
              </c:strCache>
            </c:strRef>
          </c:cat>
          <c:val>
            <c:numRef>
              <c:f>'6_资源产出消耗'!$E$4:$E$7</c:f>
              <c:numCache>
                <c:formatCode>#,##0</c:formatCode>
                <c:ptCount val="4"/>
                <c:pt idx="0">
                  <c:v>2415</c:v>
                </c:pt>
                <c:pt idx="1">
                  <c:v>9764</c:v>
                </c:pt>
                <c:pt idx="2">
                  <c:v>39835</c:v>
                </c:pt>
                <c:pt idx="3">
                  <c:v>159493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AE-4888-8474-FFBAF433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GrowthTable" displayName="RoleGrowthTable" ref="A3:G83">
  <tableColumns count="7">
    <tableColumn id="1" xr3:uid="{00000000-0010-0000-0000-000001000000}" name="等级"/>
    <tableColumn id="2" xr3:uid="{00000000-0010-0000-0000-000002000000}" name="生命值HP"/>
    <tableColumn id="3" xr3:uid="{00000000-0010-0000-0000-000003000000}" name="攻击力ATK"/>
    <tableColumn id="4" xr3:uid="{00000000-0010-0000-0000-000004000000}" name="防御力DEF"/>
    <tableColumn id="5" xr3:uid="{00000000-0010-0000-0000-000005000000}" name="战力评分"/>
    <tableColumn id="6" xr3:uid="{00000000-0010-0000-0000-000006000000}" name="升级所需经验"/>
    <tableColumn id="7" xr3:uid="{00000000-0010-0000-0000-000007000000}" name="累计经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CurveTable" displayName="ExpCurveTable" ref="A3:E83">
  <tableColumns count="5">
    <tableColumn id="1" xr3:uid="{00000000-0010-0000-0100-000001000000}" name="等级"/>
    <tableColumn id="2" xr3:uid="{00000000-0010-0000-0100-000002000000}" name="升级所需经验"/>
    <tableColumn id="3" xr3:uid="{00000000-0010-0000-0100-000003000000}" name="累计经验"/>
    <tableColumn id="4" xr3:uid="{00000000-0010-0000-0100-000004000000}" name="相邻等级经验增幅"/>
    <tableColumn id="5" xr3:uid="{00000000-0010-0000-0100-000005000000}" name="设计观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emyStatsTable" displayName="EnemyStatsTable" ref="A3:K33">
  <tableColumns count="11">
    <tableColumn id="1" xr3:uid="{00000000-0010-0000-0200-000001000000}" name="关卡"/>
    <tableColumn id="2" xr3:uid="{00000000-0010-0000-0200-000002000000}" name="推荐等级"/>
    <tableColumn id="3" xr3:uid="{00000000-0010-0000-0200-000003000000}" name="普通怪HP"/>
    <tableColumn id="4" xr3:uid="{00000000-0010-0000-0200-000004000000}" name="普通怪ATK"/>
    <tableColumn id="5" xr3:uid="{00000000-0010-0000-0200-000005000000}" name="普通怪DEF"/>
    <tableColumn id="6" xr3:uid="{00000000-0010-0000-0200-000006000000}" name="精英怪HP"/>
    <tableColumn id="7" xr3:uid="{00000000-0010-0000-0200-000007000000}" name="精英怪ATK"/>
    <tableColumn id="8" xr3:uid="{00000000-0010-0000-0200-000008000000}" name="精英怪DEF"/>
    <tableColumn id="9" xr3:uid="{00000000-0010-0000-0200-000009000000}" name="Boss HP"/>
    <tableColumn id="10" xr3:uid="{00000000-0010-0000-0200-00000A000000}" name="Boss ATK"/>
    <tableColumn id="11" xr3:uid="{00000000-0010-0000-0200-00000B000000}" name="Boss D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mageFormulaTable" displayName="DamageFormulaTable" ref="A5:H29">
  <tableColumns count="8">
    <tableColumn id="1" xr3:uid="{00000000-0010-0000-0300-000001000000}" name="角色等级"/>
    <tableColumn id="2" xr3:uid="{00000000-0010-0000-0300-000002000000}" name="攻击力"/>
    <tableColumn id="3" xr3:uid="{00000000-0010-0000-0300-000003000000}" name="敌人类型"/>
    <tableColumn id="4" xr3:uid="{00000000-0010-0000-0300-000004000000}" name="敌方防御"/>
    <tableColumn id="5" xr3:uid="{00000000-0010-0000-0300-000005000000}" name="技能倍率"/>
    <tableColumn id="6" xr3:uid="{00000000-0010-0000-0300-000006000000}" name="克制系数"/>
    <tableColumn id="7" xr3:uid="{00000000-0010-0000-0300-000007000000}" name="单次伤害"/>
    <tableColumn id="8" xr3:uid="{00000000-0010-0000-0300-000008000000}" name="预计击杀次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geDifficultyTable" displayName="StageDifficultyTable" ref="A3:K33">
  <tableColumns count="11">
    <tableColumn id="1" xr3:uid="{00000000-0010-0000-0400-000001000000}" name="关卡"/>
    <tableColumn id="2" xr3:uid="{00000000-0010-0000-0400-000002000000}" name="推荐等级"/>
    <tableColumn id="3" xr3:uid="{00000000-0010-0000-0400-000003000000}" name="普通怪数量"/>
    <tableColumn id="4" xr3:uid="{00000000-0010-0000-0400-000004000000}" name="精英怪数量"/>
    <tableColumn id="5" xr3:uid="{00000000-0010-0000-0400-000005000000}" name="Boss数量"/>
    <tableColumn id="6" xr3:uid="{00000000-0010-0000-0400-000006000000}" name="敌方总HP"/>
    <tableColumn id="7" xr3:uid="{00000000-0010-0000-0400-000007000000}" name="玩家战力"/>
    <tableColumn id="8" xr3:uid="{00000000-0010-0000-0400-000008000000}" name="难度指数"/>
    <tableColumn id="9" xr3:uid="{00000000-0010-0000-0400-000009000000}" name="评级"/>
    <tableColumn id="10" xr3:uid="{00000000-0010-0000-0400-00000A000000}" name="金币奖励"/>
    <tableColumn id="11" xr3:uid="{00000000-0010-0000-0400-00000B000000}" name="材料掉落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ourceBalanceTable" displayName="ResourceBalanceTable" ref="A3:J7">
  <tableColumns count="10">
    <tableColumn id="1" xr3:uid="{00000000-0010-0000-0500-000001000000}" name="阶段"/>
    <tableColumn id="2" xr3:uid="{00000000-0010-0000-0500-000002000000}" name="等级范围"/>
    <tableColumn id="3" xr3:uid="{00000000-0010-0000-0500-000003000000}" name="目标"/>
    <tableColumn id="4" xr3:uid="{00000000-0010-0000-0500-000004000000}" name="经验消耗"/>
    <tableColumn id="5" xr3:uid="{00000000-0010-0000-0500-000005000000}" name="金币消耗"/>
    <tableColumn id="6" xr3:uid="{00000000-0010-0000-0500-000006000000}" name="低级材料需求"/>
    <tableColumn id="7" xr3:uid="{00000000-0010-0000-0500-000007000000}" name="中级材料需求"/>
    <tableColumn id="8" xr3:uid="{00000000-0010-0000-0500-000008000000}" name="高级材料需求"/>
    <tableColumn id="9" xr3:uid="{00000000-0010-0000-0500-000009000000}" name="推荐资源来源"/>
    <tableColumn id="10" xr3:uid="{00000000-0010-0000-0500-00000A000000}" name="设计目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opLeftCell="A4" workbookViewId="0">
      <selection activeCell="K8" sqref="K8"/>
    </sheetView>
  </sheetViews>
  <sheetFormatPr defaultRowHeight="13.8"/>
  <cols>
    <col min="1" max="1" width="18" customWidth="1"/>
    <col min="2" max="2" width="14" customWidth="1"/>
    <col min="3" max="3" width="36" customWidth="1"/>
    <col min="4" max="4" width="18" customWidth="1"/>
    <col min="5" max="11" width="14" customWidth="1"/>
  </cols>
  <sheetData>
    <row r="1" spans="1:11" ht="15.6">
      <c r="A1" s="9" t="s">
        <v>0</v>
      </c>
      <c r="B1" s="9"/>
      <c r="C1" s="9"/>
      <c r="D1" s="9"/>
      <c r="E1" s="9"/>
      <c r="F1" s="9"/>
      <c r="G1" s="9"/>
      <c r="H1" s="9"/>
      <c r="I1" s="1"/>
      <c r="J1" s="1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10" t="s">
        <v>1</v>
      </c>
      <c r="B3" s="10"/>
      <c r="C3" s="10"/>
      <c r="D3" s="10"/>
      <c r="E3" s="10"/>
      <c r="F3" s="10"/>
      <c r="G3" s="10"/>
      <c r="H3" s="10"/>
      <c r="I3" s="1"/>
      <c r="J3" s="1"/>
      <c r="K3" s="1"/>
    </row>
    <row r="4" spans="1:11" ht="165" customHeight="1">
      <c r="A4" s="11" t="s">
        <v>2</v>
      </c>
      <c r="B4" s="11"/>
      <c r="C4" s="11"/>
      <c r="D4" s="11"/>
      <c r="E4" s="11"/>
      <c r="F4" s="11"/>
      <c r="G4" s="11"/>
      <c r="H4" s="11"/>
      <c r="I4" s="1"/>
      <c r="J4" s="1"/>
      <c r="K4" s="1"/>
    </row>
    <row r="5" spans="1:11" ht="120" customHeight="1">
      <c r="A5" s="11" t="s">
        <v>180</v>
      </c>
      <c r="B5" s="11"/>
      <c r="C5" s="11"/>
      <c r="D5" s="11"/>
      <c r="E5" s="11"/>
      <c r="F5" s="11"/>
      <c r="G5" s="11"/>
      <c r="H5" s="11"/>
      <c r="I5" s="1"/>
      <c r="J5" s="1"/>
      <c r="K5" s="1"/>
    </row>
    <row r="6" spans="1:11" ht="90" customHeight="1">
      <c r="A6" s="11" t="s">
        <v>3</v>
      </c>
      <c r="B6" s="11"/>
      <c r="C6" s="11"/>
      <c r="D6" s="11"/>
      <c r="E6" s="11"/>
      <c r="F6" s="11"/>
      <c r="G6" s="11"/>
      <c r="H6" s="11"/>
      <c r="I6" s="1"/>
      <c r="J6" s="1"/>
      <c r="K6" s="1"/>
    </row>
    <row r="7" spans="1:11" ht="15">
      <c r="A7" s="3"/>
      <c r="B7" s="3"/>
      <c r="C7" s="3"/>
      <c r="D7" s="3"/>
      <c r="E7" s="3"/>
      <c r="F7" s="3"/>
      <c r="G7" s="3"/>
      <c r="H7" s="3"/>
      <c r="I7" s="1"/>
      <c r="J7" s="1"/>
      <c r="K7" s="1"/>
    </row>
    <row r="8" spans="1:11" ht="15">
      <c r="A8" s="3"/>
      <c r="B8" s="3"/>
      <c r="C8" s="3"/>
      <c r="D8" s="3"/>
      <c r="E8" s="3"/>
      <c r="F8" s="3"/>
      <c r="G8" s="3"/>
      <c r="H8" s="3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6">
      <c r="A10" s="10" t="s">
        <v>4</v>
      </c>
      <c r="B10" s="10"/>
      <c r="C10" s="10"/>
      <c r="D10" s="10"/>
      <c r="E10" s="10"/>
      <c r="F10" s="10"/>
      <c r="G10" s="10"/>
      <c r="H10" s="10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6">
      <c r="A12" s="2" t="s">
        <v>5</v>
      </c>
      <c r="B12" s="2" t="s">
        <v>6</v>
      </c>
      <c r="C12" s="2" t="s">
        <v>7</v>
      </c>
      <c r="D12" s="2" t="s">
        <v>8</v>
      </c>
      <c r="E12" s="1"/>
      <c r="F12" s="1"/>
      <c r="G12" s="1"/>
      <c r="H12" s="1"/>
      <c r="I12" s="1"/>
      <c r="J12" s="1"/>
      <c r="K12" s="1"/>
    </row>
    <row r="13" spans="1:11" ht="15">
      <c r="A13" s="1" t="s">
        <v>9</v>
      </c>
      <c r="B13" s="4">
        <v>80</v>
      </c>
      <c r="C13" s="1" t="s">
        <v>10</v>
      </c>
      <c r="D13" s="1" t="s">
        <v>11</v>
      </c>
      <c r="E13" s="1"/>
      <c r="F13" s="1"/>
      <c r="G13" s="1"/>
      <c r="H13" s="1"/>
      <c r="I13" s="1"/>
      <c r="J13" s="1"/>
      <c r="K13" s="1"/>
    </row>
    <row r="14" spans="1:11" ht="15">
      <c r="A14" s="1" t="s">
        <v>12</v>
      </c>
      <c r="B14" s="4">
        <v>1000</v>
      </c>
      <c r="C14" s="1" t="s">
        <v>13</v>
      </c>
      <c r="D14" s="1" t="s">
        <v>14</v>
      </c>
      <c r="E14" s="1"/>
      <c r="F14" s="1"/>
      <c r="G14" s="1"/>
      <c r="H14" s="1"/>
      <c r="I14" s="1"/>
      <c r="J14" s="1"/>
      <c r="K14" s="1"/>
    </row>
    <row r="15" spans="1:11" ht="15">
      <c r="A15" s="1" t="s">
        <v>15</v>
      </c>
      <c r="B15" s="5">
        <v>5.5E-2</v>
      </c>
      <c r="C15" s="1" t="s">
        <v>16</v>
      </c>
      <c r="D15" s="1" t="s">
        <v>17</v>
      </c>
      <c r="E15" s="1"/>
      <c r="F15" s="1"/>
      <c r="G15" s="1"/>
      <c r="H15" s="1"/>
      <c r="I15" s="1"/>
      <c r="J15" s="1"/>
      <c r="K15" s="1"/>
    </row>
    <row r="16" spans="1:11" ht="15">
      <c r="A16" s="1" t="s">
        <v>18</v>
      </c>
      <c r="B16" s="4">
        <v>100</v>
      </c>
      <c r="C16" s="1" t="s">
        <v>19</v>
      </c>
      <c r="D16" s="1" t="s">
        <v>20</v>
      </c>
      <c r="E16" s="1"/>
      <c r="F16" s="1"/>
      <c r="G16" s="1"/>
      <c r="H16" s="1"/>
      <c r="I16" s="1"/>
      <c r="J16" s="1"/>
      <c r="K16" s="1"/>
    </row>
    <row r="17" spans="1:11" ht="15">
      <c r="A17" s="1" t="s">
        <v>21</v>
      </c>
      <c r="B17" s="5">
        <v>4.4999999999999998E-2</v>
      </c>
      <c r="C17" s="1" t="s">
        <v>22</v>
      </c>
      <c r="D17" s="1" t="s">
        <v>17</v>
      </c>
      <c r="E17" s="1"/>
      <c r="F17" s="1"/>
      <c r="G17" s="1"/>
      <c r="H17" s="1"/>
      <c r="I17" s="1"/>
      <c r="J17" s="1"/>
      <c r="K17" s="1"/>
    </row>
    <row r="18" spans="1:11" ht="15">
      <c r="A18" s="1" t="s">
        <v>23</v>
      </c>
      <c r="B18" s="4">
        <v>55</v>
      </c>
      <c r="C18" s="1" t="s">
        <v>24</v>
      </c>
      <c r="D18" s="1" t="s">
        <v>25</v>
      </c>
      <c r="E18" s="1"/>
      <c r="F18" s="1"/>
      <c r="G18" s="1"/>
      <c r="H18" s="1"/>
      <c r="I18" s="1"/>
      <c r="J18" s="1"/>
      <c r="K18" s="1"/>
    </row>
    <row r="19" spans="1:11" ht="15">
      <c r="A19" s="1" t="s">
        <v>26</v>
      </c>
      <c r="B19" s="5">
        <v>0.04</v>
      </c>
      <c r="C19" s="1" t="s">
        <v>27</v>
      </c>
      <c r="D19" s="1" t="s">
        <v>17</v>
      </c>
      <c r="E19" s="1"/>
      <c r="F19" s="1"/>
      <c r="G19" s="1"/>
      <c r="H19" s="1"/>
      <c r="I19" s="1"/>
      <c r="J19" s="1"/>
      <c r="K19" s="1"/>
    </row>
    <row r="20" spans="1:11" ht="15">
      <c r="A20" s="1" t="s">
        <v>28</v>
      </c>
      <c r="B20" s="4">
        <v>0.12</v>
      </c>
      <c r="C20" s="1" t="s">
        <v>29</v>
      </c>
      <c r="D20" s="1" t="s">
        <v>30</v>
      </c>
      <c r="E20" s="1"/>
      <c r="F20" s="1"/>
      <c r="G20" s="1"/>
      <c r="H20" s="1"/>
      <c r="I20" s="1"/>
      <c r="J20" s="1"/>
      <c r="K20" s="1"/>
    </row>
    <row r="21" spans="1:11" ht="15">
      <c r="A21" s="1" t="s">
        <v>31</v>
      </c>
      <c r="B21" s="4">
        <v>6</v>
      </c>
      <c r="C21" s="1" t="s">
        <v>32</v>
      </c>
      <c r="D21" s="1" t="s">
        <v>30</v>
      </c>
      <c r="E21" s="1"/>
      <c r="F21" s="1"/>
      <c r="G21" s="1"/>
      <c r="H21" s="1"/>
      <c r="I21" s="1"/>
      <c r="J21" s="1"/>
      <c r="K21" s="1"/>
    </row>
    <row r="22" spans="1:11" ht="15">
      <c r="A22" s="1" t="s">
        <v>33</v>
      </c>
      <c r="B22" s="4">
        <v>3</v>
      </c>
      <c r="C22" s="1" t="s">
        <v>34</v>
      </c>
      <c r="D22" s="1" t="s">
        <v>30</v>
      </c>
      <c r="E22" s="1"/>
      <c r="F22" s="1"/>
      <c r="G22" s="1"/>
      <c r="H22" s="1"/>
      <c r="I22" s="1"/>
      <c r="J22" s="1"/>
      <c r="K22" s="1"/>
    </row>
    <row r="23" spans="1:11" ht="15">
      <c r="A23" s="1" t="s">
        <v>35</v>
      </c>
      <c r="B23" s="4">
        <v>80</v>
      </c>
      <c r="C23" s="1" t="s">
        <v>36</v>
      </c>
      <c r="D23" s="1" t="s">
        <v>37</v>
      </c>
      <c r="E23" s="1"/>
      <c r="F23" s="1"/>
      <c r="G23" s="1"/>
      <c r="H23" s="1"/>
      <c r="I23" s="1"/>
      <c r="J23" s="1"/>
      <c r="K23" s="1"/>
    </row>
    <row r="24" spans="1:11" ht="15">
      <c r="A24" s="1" t="s">
        <v>38</v>
      </c>
      <c r="B24" s="5">
        <v>6.5000000000000002E-2</v>
      </c>
      <c r="C24" s="1" t="s">
        <v>39</v>
      </c>
      <c r="D24" s="1" t="s">
        <v>17</v>
      </c>
      <c r="E24" s="1"/>
      <c r="F24" s="1"/>
      <c r="G24" s="1"/>
      <c r="H24" s="1"/>
      <c r="I24" s="1"/>
      <c r="J24" s="1"/>
      <c r="K24" s="1"/>
    </row>
    <row r="25" spans="1:11" ht="15">
      <c r="A25" s="1" t="s">
        <v>40</v>
      </c>
      <c r="B25" s="5">
        <v>0.05</v>
      </c>
      <c r="C25" s="1" t="s">
        <v>41</v>
      </c>
      <c r="D25" s="1" t="s">
        <v>17</v>
      </c>
      <c r="E25" s="1"/>
      <c r="F25" s="1"/>
      <c r="G25" s="1"/>
      <c r="H25" s="1"/>
      <c r="I25" s="1"/>
      <c r="J25" s="1"/>
      <c r="K25" s="1"/>
    </row>
    <row r="26" spans="1:11" ht="15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6">
    <mergeCell ref="A1:H1"/>
    <mergeCell ref="A3:H3"/>
    <mergeCell ref="A10:H10"/>
    <mergeCell ref="A4:H4"/>
    <mergeCell ref="A5:H5"/>
    <mergeCell ref="A6:H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sqref="A1:G1"/>
    </sheetView>
  </sheetViews>
  <sheetFormatPr defaultRowHeight="13.8"/>
  <cols>
    <col min="1" max="11" width="14" customWidth="1"/>
  </cols>
  <sheetData>
    <row r="1" spans="1:11" ht="15.6">
      <c r="A1" s="9" t="s">
        <v>42</v>
      </c>
      <c r="B1" s="9"/>
      <c r="C1" s="9"/>
      <c r="D1" s="9"/>
      <c r="E1" s="9"/>
      <c r="F1" s="9"/>
      <c r="G1" s="9"/>
      <c r="H1" s="1"/>
      <c r="I1" s="1"/>
      <c r="J1" s="1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1"/>
      <c r="I3" s="1"/>
      <c r="J3" s="1"/>
      <c r="K3" s="1"/>
    </row>
    <row r="4" spans="1:11" ht="15">
      <c r="A4" s="6">
        <v>1</v>
      </c>
      <c r="B4" s="6">
        <f>ROUND('0_设计说明'!$B$14*(1+'0_设计说明'!$B$15)^(A4-1),0)</f>
        <v>1000</v>
      </c>
      <c r="C4" s="6">
        <f>ROUND('0_设计说明'!$B$16*(1+'0_设计说明'!$B$17)^(A4-1),0)</f>
        <v>100</v>
      </c>
      <c r="D4" s="6">
        <f>ROUND('0_设计说明'!$B$18*(1+'0_设计说明'!$B$19)^(A4-1),0)</f>
        <v>55</v>
      </c>
      <c r="E4" s="6">
        <f>ROUND(B4*'0_设计说明'!$B$20+C4*'0_设计说明'!$B$21+D4*'0_设计说明'!$B$22,0)</f>
        <v>885</v>
      </c>
      <c r="F4" s="6">
        <f>IF(A4=1,0,ROUND('0_设计说明'!$B$23*(1+'0_设计说明'!$B$24)^(A4-2),0))</f>
        <v>0</v>
      </c>
      <c r="G4" s="6">
        <f>SUM($F$4:F4)</f>
        <v>0</v>
      </c>
      <c r="H4" s="1"/>
      <c r="I4" s="1"/>
      <c r="J4" s="1"/>
      <c r="K4" s="1"/>
    </row>
    <row r="5" spans="1:11" ht="15">
      <c r="A5" s="6">
        <v>2</v>
      </c>
      <c r="B5" s="6">
        <f>ROUND('0_设计说明'!$B$14*(1+'0_设计说明'!$B$15)^(A5-1),0)</f>
        <v>1055</v>
      </c>
      <c r="C5" s="6">
        <f>ROUND('0_设计说明'!$B$16*(1+'0_设计说明'!$B$17)^(A5-1),0)</f>
        <v>105</v>
      </c>
      <c r="D5" s="6">
        <f>ROUND('0_设计说明'!$B$18*(1+'0_设计说明'!$B$19)^(A5-1),0)</f>
        <v>57</v>
      </c>
      <c r="E5" s="6">
        <f>ROUND(B5*'0_设计说明'!$B$20+C5*'0_设计说明'!$B$21+D5*'0_设计说明'!$B$22,0)</f>
        <v>928</v>
      </c>
      <c r="F5" s="6">
        <f>IF(A5=1,0,ROUND('0_设计说明'!$B$23*(1+'0_设计说明'!$B$24)^(A5-2),0))</f>
        <v>80</v>
      </c>
      <c r="G5" s="6">
        <f>SUM($F$4:F5)</f>
        <v>80</v>
      </c>
      <c r="H5" s="1"/>
      <c r="I5" s="1"/>
      <c r="J5" s="1"/>
      <c r="K5" s="1"/>
    </row>
    <row r="6" spans="1:11" ht="15">
      <c r="A6" s="6">
        <v>3</v>
      </c>
      <c r="B6" s="6">
        <f>ROUND('0_设计说明'!$B$14*(1+'0_设计说明'!$B$15)^(A6-1),0)</f>
        <v>1113</v>
      </c>
      <c r="C6" s="6">
        <f>ROUND('0_设计说明'!$B$16*(1+'0_设计说明'!$B$17)^(A6-1),0)</f>
        <v>109</v>
      </c>
      <c r="D6" s="6">
        <f>ROUND('0_设计说明'!$B$18*(1+'0_设计说明'!$B$19)^(A6-1),0)</f>
        <v>59</v>
      </c>
      <c r="E6" s="6">
        <f>ROUND(B6*'0_设计说明'!$B$20+C6*'0_设计说明'!$B$21+D6*'0_设计说明'!$B$22,0)</f>
        <v>965</v>
      </c>
      <c r="F6" s="6">
        <f>IF(A6=1,0,ROUND('0_设计说明'!$B$23*(1+'0_设计说明'!$B$24)^(A6-2),0))</f>
        <v>85</v>
      </c>
      <c r="G6" s="6">
        <f>SUM($F$4:F6)</f>
        <v>165</v>
      </c>
      <c r="H6" s="1"/>
      <c r="I6" s="1"/>
      <c r="J6" s="1"/>
      <c r="K6" s="1"/>
    </row>
    <row r="7" spans="1:11" ht="15">
      <c r="A7" s="6">
        <v>4</v>
      </c>
      <c r="B7" s="6">
        <f>ROUND('0_设计说明'!$B$14*(1+'0_设计说明'!$B$15)^(A7-1),0)</f>
        <v>1174</v>
      </c>
      <c r="C7" s="6">
        <f>ROUND('0_设计说明'!$B$16*(1+'0_设计说明'!$B$17)^(A7-1),0)</f>
        <v>114</v>
      </c>
      <c r="D7" s="6">
        <f>ROUND('0_设计说明'!$B$18*(1+'0_设计说明'!$B$19)^(A7-1),0)</f>
        <v>62</v>
      </c>
      <c r="E7" s="6">
        <f>ROUND(B7*'0_设计说明'!$B$20+C7*'0_设计说明'!$B$21+D7*'0_设计说明'!$B$22,0)</f>
        <v>1011</v>
      </c>
      <c r="F7" s="6">
        <f>IF(A7=1,0,ROUND('0_设计说明'!$B$23*(1+'0_设计说明'!$B$24)^(A7-2),0))</f>
        <v>91</v>
      </c>
      <c r="G7" s="6">
        <f>SUM($F$4:F7)</f>
        <v>256</v>
      </c>
      <c r="H7" s="1"/>
      <c r="I7" s="1"/>
      <c r="J7" s="1"/>
      <c r="K7" s="1"/>
    </row>
    <row r="8" spans="1:11" ht="15">
      <c r="A8" s="6">
        <v>5</v>
      </c>
      <c r="B8" s="6">
        <f>ROUND('0_设计说明'!$B$14*(1+'0_设计说明'!$B$15)^(A8-1),0)</f>
        <v>1239</v>
      </c>
      <c r="C8" s="6">
        <f>ROUND('0_设计说明'!$B$16*(1+'0_设计说明'!$B$17)^(A8-1),0)</f>
        <v>119</v>
      </c>
      <c r="D8" s="6">
        <f>ROUND('0_设计说明'!$B$18*(1+'0_设计说明'!$B$19)^(A8-1),0)</f>
        <v>64</v>
      </c>
      <c r="E8" s="6">
        <f>ROUND(B8*'0_设计说明'!$B$20+C8*'0_设计说明'!$B$21+D8*'0_设计说明'!$B$22,0)</f>
        <v>1055</v>
      </c>
      <c r="F8" s="6">
        <f>IF(A8=1,0,ROUND('0_设计说明'!$B$23*(1+'0_设计说明'!$B$24)^(A8-2),0))</f>
        <v>97</v>
      </c>
      <c r="G8" s="6">
        <f>SUM($F$4:F8)</f>
        <v>353</v>
      </c>
      <c r="H8" s="1"/>
      <c r="I8" s="1"/>
      <c r="J8" s="1"/>
      <c r="K8" s="1"/>
    </row>
    <row r="9" spans="1:11" ht="15">
      <c r="A9" s="6">
        <v>6</v>
      </c>
      <c r="B9" s="6">
        <f>ROUND('0_设计说明'!$B$14*(1+'0_设计说明'!$B$15)^(A9-1),0)</f>
        <v>1307</v>
      </c>
      <c r="C9" s="6">
        <f>ROUND('0_设计说明'!$B$16*(1+'0_设计说明'!$B$17)^(A9-1),0)</f>
        <v>125</v>
      </c>
      <c r="D9" s="6">
        <f>ROUND('0_设计说明'!$B$18*(1+'0_设计说明'!$B$19)^(A9-1),0)</f>
        <v>67</v>
      </c>
      <c r="E9" s="6">
        <f>ROUND(B9*'0_设计说明'!$B$20+C9*'0_设计说明'!$B$21+D9*'0_设计说明'!$B$22,0)</f>
        <v>1108</v>
      </c>
      <c r="F9" s="6">
        <f>IF(A9=1,0,ROUND('0_设计说明'!$B$23*(1+'0_设计说明'!$B$24)^(A9-2),0))</f>
        <v>103</v>
      </c>
      <c r="G9" s="6">
        <f>SUM($F$4:F9)</f>
        <v>456</v>
      </c>
      <c r="H9" s="1"/>
      <c r="I9" s="1"/>
      <c r="J9" s="1"/>
      <c r="K9" s="1"/>
    </row>
    <row r="10" spans="1:11" ht="15">
      <c r="A10" s="6">
        <v>7</v>
      </c>
      <c r="B10" s="6">
        <f>ROUND('0_设计说明'!$B$14*(1+'0_设计说明'!$B$15)^(A10-1),0)</f>
        <v>1379</v>
      </c>
      <c r="C10" s="6">
        <f>ROUND('0_设计说明'!$B$16*(1+'0_设计说明'!$B$17)^(A10-1),0)</f>
        <v>130</v>
      </c>
      <c r="D10" s="6">
        <f>ROUND('0_设计说明'!$B$18*(1+'0_设计说明'!$B$19)^(A10-1),0)</f>
        <v>70</v>
      </c>
      <c r="E10" s="6">
        <f>ROUND(B10*'0_设计说明'!$B$20+C10*'0_设计说明'!$B$21+D10*'0_设计说明'!$B$22,0)</f>
        <v>1155</v>
      </c>
      <c r="F10" s="6">
        <f>IF(A10=1,0,ROUND('0_设计说明'!$B$23*(1+'0_设计说明'!$B$24)^(A10-2),0))</f>
        <v>110</v>
      </c>
      <c r="G10" s="6">
        <f>SUM($F$4:F10)</f>
        <v>566</v>
      </c>
      <c r="H10" s="1"/>
      <c r="I10" s="1"/>
      <c r="J10" s="1"/>
      <c r="K10" s="1"/>
    </row>
    <row r="11" spans="1:11" ht="15">
      <c r="A11" s="6">
        <v>8</v>
      </c>
      <c r="B11" s="6">
        <f>ROUND('0_设计说明'!$B$14*(1+'0_设计说明'!$B$15)^(A11-1),0)</f>
        <v>1455</v>
      </c>
      <c r="C11" s="6">
        <f>ROUND('0_设计说明'!$B$16*(1+'0_设计说明'!$B$17)^(A11-1),0)</f>
        <v>136</v>
      </c>
      <c r="D11" s="6">
        <f>ROUND('0_设计说明'!$B$18*(1+'0_设计说明'!$B$19)^(A11-1),0)</f>
        <v>72</v>
      </c>
      <c r="E11" s="6">
        <f>ROUND(B11*'0_设计说明'!$B$20+C11*'0_设计说明'!$B$21+D11*'0_设计说明'!$B$22,0)</f>
        <v>1207</v>
      </c>
      <c r="F11" s="6">
        <f>IF(A11=1,0,ROUND('0_设计说明'!$B$23*(1+'0_设计说明'!$B$24)^(A11-2),0))</f>
        <v>117</v>
      </c>
      <c r="G11" s="6">
        <f>SUM($F$4:F11)</f>
        <v>683</v>
      </c>
      <c r="H11" s="1"/>
      <c r="I11" s="1"/>
      <c r="J11" s="1"/>
      <c r="K11" s="1"/>
    </row>
    <row r="12" spans="1:11" ht="15">
      <c r="A12" s="6">
        <v>9</v>
      </c>
      <c r="B12" s="6">
        <f>ROUND('0_设计说明'!$B$14*(1+'0_设计说明'!$B$15)^(A12-1),0)</f>
        <v>1535</v>
      </c>
      <c r="C12" s="6">
        <f>ROUND('0_设计说明'!$B$16*(1+'0_设计说明'!$B$17)^(A12-1),0)</f>
        <v>142</v>
      </c>
      <c r="D12" s="6">
        <f>ROUND('0_设计说明'!$B$18*(1+'0_设计说明'!$B$19)^(A12-1),0)</f>
        <v>75</v>
      </c>
      <c r="E12" s="6">
        <f>ROUND(B12*'0_设计说明'!$B$20+C12*'0_设计说明'!$B$21+D12*'0_设计说明'!$B$22,0)</f>
        <v>1261</v>
      </c>
      <c r="F12" s="6">
        <f>IF(A12=1,0,ROUND('0_设计说明'!$B$23*(1+'0_设计说明'!$B$24)^(A12-2),0))</f>
        <v>124</v>
      </c>
      <c r="G12" s="6">
        <f>SUM($F$4:F12)</f>
        <v>807</v>
      </c>
      <c r="H12" s="1"/>
      <c r="I12" s="1"/>
      <c r="J12" s="1"/>
      <c r="K12" s="1"/>
    </row>
    <row r="13" spans="1:11" ht="15">
      <c r="A13" s="6">
        <v>10</v>
      </c>
      <c r="B13" s="6">
        <f>ROUND('0_设计说明'!$B$14*(1+'0_设计说明'!$B$15)^(A13-1),0)</f>
        <v>1619</v>
      </c>
      <c r="C13" s="6">
        <f>ROUND('0_设计说明'!$B$16*(1+'0_设计说明'!$B$17)^(A13-1),0)</f>
        <v>149</v>
      </c>
      <c r="D13" s="6">
        <f>ROUND('0_设计说明'!$B$18*(1+'0_设计说明'!$B$19)^(A13-1),0)</f>
        <v>78</v>
      </c>
      <c r="E13" s="6">
        <f>ROUND(B13*'0_设计说明'!$B$20+C13*'0_设计说明'!$B$21+D13*'0_设计说明'!$B$22,0)</f>
        <v>1322</v>
      </c>
      <c r="F13" s="6">
        <f>IF(A13=1,0,ROUND('0_设计说明'!$B$23*(1+'0_设计说明'!$B$24)^(A13-2),0))</f>
        <v>132</v>
      </c>
      <c r="G13" s="6">
        <f>SUM($F$4:F13)</f>
        <v>939</v>
      </c>
      <c r="H13" s="1"/>
      <c r="I13" s="1"/>
      <c r="J13" s="1"/>
      <c r="K13" s="1"/>
    </row>
    <row r="14" spans="1:11" ht="15">
      <c r="A14" s="6">
        <v>11</v>
      </c>
      <c r="B14" s="6">
        <f>ROUND('0_设计说明'!$B$14*(1+'0_设计说明'!$B$15)^(A14-1),0)</f>
        <v>1708</v>
      </c>
      <c r="C14" s="6">
        <f>ROUND('0_设计说明'!$B$16*(1+'0_设计说明'!$B$17)^(A14-1),0)</f>
        <v>155</v>
      </c>
      <c r="D14" s="6">
        <f>ROUND('0_设计说明'!$B$18*(1+'0_设计说明'!$B$19)^(A14-1),0)</f>
        <v>81</v>
      </c>
      <c r="E14" s="6">
        <f>ROUND(B14*'0_设计说明'!$B$20+C14*'0_设计说明'!$B$21+D14*'0_设计说明'!$B$22,0)</f>
        <v>1378</v>
      </c>
      <c r="F14" s="6">
        <f>IF(A14=1,0,ROUND('0_设计说明'!$B$23*(1+'0_设计说明'!$B$24)^(A14-2),0))</f>
        <v>141</v>
      </c>
      <c r="G14" s="6">
        <f>SUM($F$4:F14)</f>
        <v>1080</v>
      </c>
      <c r="H14" s="1"/>
      <c r="I14" s="1"/>
      <c r="J14" s="1"/>
      <c r="K14" s="1"/>
    </row>
    <row r="15" spans="1:11" ht="15">
      <c r="A15" s="6">
        <v>12</v>
      </c>
      <c r="B15" s="6">
        <f>ROUND('0_设计说明'!$B$14*(1+'0_设计说明'!$B$15)^(A15-1),0)</f>
        <v>1802</v>
      </c>
      <c r="C15" s="6">
        <f>ROUND('0_设计说明'!$B$16*(1+'0_设计说明'!$B$17)^(A15-1),0)</f>
        <v>162</v>
      </c>
      <c r="D15" s="6">
        <f>ROUND('0_设计说明'!$B$18*(1+'0_设计说明'!$B$19)^(A15-1),0)</f>
        <v>85</v>
      </c>
      <c r="E15" s="6">
        <f>ROUND(B15*'0_设计说明'!$B$20+C15*'0_设计说明'!$B$21+D15*'0_设计说明'!$B$22,0)</f>
        <v>1443</v>
      </c>
      <c r="F15" s="6">
        <f>IF(A15=1,0,ROUND('0_设计说明'!$B$23*(1+'0_设计说明'!$B$24)^(A15-2),0))</f>
        <v>150</v>
      </c>
      <c r="G15" s="6">
        <f>SUM($F$4:F15)</f>
        <v>1230</v>
      </c>
      <c r="H15" s="1"/>
      <c r="I15" s="1"/>
      <c r="J15" s="1"/>
      <c r="K15" s="1"/>
    </row>
    <row r="16" spans="1:11" ht="15">
      <c r="A16" s="6">
        <v>13</v>
      </c>
      <c r="B16" s="6">
        <f>ROUND('0_设计说明'!$B$14*(1+'0_设计说明'!$B$15)^(A16-1),0)</f>
        <v>1901</v>
      </c>
      <c r="C16" s="6">
        <f>ROUND('0_设计说明'!$B$16*(1+'0_设计说明'!$B$17)^(A16-1),0)</f>
        <v>170</v>
      </c>
      <c r="D16" s="6">
        <f>ROUND('0_设计说明'!$B$18*(1+'0_设计说明'!$B$19)^(A16-1),0)</f>
        <v>88</v>
      </c>
      <c r="E16" s="6">
        <f>ROUND(B16*'0_设计说明'!$B$20+C16*'0_设计说明'!$B$21+D16*'0_设计说明'!$B$22,0)</f>
        <v>1512</v>
      </c>
      <c r="F16" s="6">
        <f>IF(A16=1,0,ROUND('0_设计说明'!$B$23*(1+'0_设计说明'!$B$24)^(A16-2),0))</f>
        <v>160</v>
      </c>
      <c r="G16" s="6">
        <f>SUM($F$4:F16)</f>
        <v>1390</v>
      </c>
      <c r="H16" s="1"/>
      <c r="I16" s="1"/>
      <c r="J16" s="1"/>
      <c r="K16" s="1"/>
    </row>
    <row r="17" spans="1:11" ht="15">
      <c r="A17" s="6">
        <v>14</v>
      </c>
      <c r="B17" s="6">
        <f>ROUND('0_设计说明'!$B$14*(1+'0_设计说明'!$B$15)^(A17-1),0)</f>
        <v>2006</v>
      </c>
      <c r="C17" s="6">
        <f>ROUND('0_设计说明'!$B$16*(1+'0_设计说明'!$B$17)^(A17-1),0)</f>
        <v>177</v>
      </c>
      <c r="D17" s="6">
        <f>ROUND('0_设计说明'!$B$18*(1+'0_设计说明'!$B$19)^(A17-1),0)</f>
        <v>92</v>
      </c>
      <c r="E17" s="6">
        <f>ROUND(B17*'0_设计说明'!$B$20+C17*'0_设计说明'!$B$21+D17*'0_设计说明'!$B$22,0)</f>
        <v>1579</v>
      </c>
      <c r="F17" s="6">
        <f>IF(A17=1,0,ROUND('0_设计说明'!$B$23*(1+'0_设计说明'!$B$24)^(A17-2),0))</f>
        <v>170</v>
      </c>
      <c r="G17" s="6">
        <f>SUM($F$4:F17)</f>
        <v>1560</v>
      </c>
      <c r="H17" s="1"/>
      <c r="I17" s="1"/>
      <c r="J17" s="1"/>
      <c r="K17" s="1"/>
    </row>
    <row r="18" spans="1:11" ht="15">
      <c r="A18" s="6">
        <v>15</v>
      </c>
      <c r="B18" s="6">
        <f>ROUND('0_设计说明'!$B$14*(1+'0_设计说明'!$B$15)^(A18-1),0)</f>
        <v>2116</v>
      </c>
      <c r="C18" s="6">
        <f>ROUND('0_设计说明'!$B$16*(1+'0_设计说明'!$B$17)^(A18-1),0)</f>
        <v>185</v>
      </c>
      <c r="D18" s="6">
        <f>ROUND('0_设计说明'!$B$18*(1+'0_设计说明'!$B$19)^(A18-1),0)</f>
        <v>95</v>
      </c>
      <c r="E18" s="6">
        <f>ROUND(B18*'0_设计说明'!$B$20+C18*'0_设计说明'!$B$21+D18*'0_设计说明'!$B$22,0)</f>
        <v>1649</v>
      </c>
      <c r="F18" s="6">
        <f>IF(A18=1,0,ROUND('0_设计说明'!$B$23*(1+'0_设计说明'!$B$24)^(A18-2),0))</f>
        <v>181</v>
      </c>
      <c r="G18" s="6">
        <f>SUM($F$4:F18)</f>
        <v>1741</v>
      </c>
      <c r="H18" s="1"/>
      <c r="I18" s="1"/>
      <c r="J18" s="1"/>
      <c r="K18" s="1"/>
    </row>
    <row r="19" spans="1:11" ht="15">
      <c r="A19" s="6">
        <v>16</v>
      </c>
      <c r="B19" s="6">
        <f>ROUND('0_设计说明'!$B$14*(1+'0_设计说明'!$B$15)^(A19-1),0)</f>
        <v>2232</v>
      </c>
      <c r="C19" s="6">
        <f>ROUND('0_设计说明'!$B$16*(1+'0_设计说明'!$B$17)^(A19-1),0)</f>
        <v>194</v>
      </c>
      <c r="D19" s="6">
        <f>ROUND('0_设计说明'!$B$18*(1+'0_设计说明'!$B$19)^(A19-1),0)</f>
        <v>99</v>
      </c>
      <c r="E19" s="6">
        <f>ROUND(B19*'0_设计说明'!$B$20+C19*'0_设计说明'!$B$21+D19*'0_设计说明'!$B$22,0)</f>
        <v>1729</v>
      </c>
      <c r="F19" s="6">
        <f>IF(A19=1,0,ROUND('0_设计说明'!$B$23*(1+'0_设计说明'!$B$24)^(A19-2),0))</f>
        <v>193</v>
      </c>
      <c r="G19" s="6">
        <f>SUM($F$4:F19)</f>
        <v>1934</v>
      </c>
      <c r="H19" s="1"/>
      <c r="I19" s="1"/>
      <c r="J19" s="1"/>
      <c r="K19" s="1"/>
    </row>
    <row r="20" spans="1:11" ht="15">
      <c r="A20" s="6">
        <v>17</v>
      </c>
      <c r="B20" s="6">
        <f>ROUND('0_设计说明'!$B$14*(1+'0_设计说明'!$B$15)^(A20-1),0)</f>
        <v>2355</v>
      </c>
      <c r="C20" s="6">
        <f>ROUND('0_设计说明'!$B$16*(1+'0_设计说明'!$B$17)^(A20-1),0)</f>
        <v>202</v>
      </c>
      <c r="D20" s="6">
        <f>ROUND('0_设计说明'!$B$18*(1+'0_设计说明'!$B$19)^(A20-1),0)</f>
        <v>103</v>
      </c>
      <c r="E20" s="6">
        <f>ROUND(B20*'0_设计说明'!$B$20+C20*'0_设计说明'!$B$21+D20*'0_设计说明'!$B$22,0)</f>
        <v>1804</v>
      </c>
      <c r="F20" s="6">
        <f>IF(A20=1,0,ROUND('0_设计说明'!$B$23*(1+'0_设计说明'!$B$24)^(A20-2),0))</f>
        <v>206</v>
      </c>
      <c r="G20" s="6">
        <f>SUM($F$4:F20)</f>
        <v>2140</v>
      </c>
      <c r="H20" s="1"/>
      <c r="I20" s="1"/>
      <c r="J20" s="1"/>
      <c r="K20" s="1"/>
    </row>
    <row r="21" spans="1:11" ht="15">
      <c r="A21" s="6">
        <v>18</v>
      </c>
      <c r="B21" s="6">
        <f>ROUND('0_设计说明'!$B$14*(1+'0_设计说明'!$B$15)^(A21-1),0)</f>
        <v>2485</v>
      </c>
      <c r="C21" s="6">
        <f>ROUND('0_设计说明'!$B$16*(1+'0_设计说明'!$B$17)^(A21-1),0)</f>
        <v>211</v>
      </c>
      <c r="D21" s="6">
        <f>ROUND('0_设计说明'!$B$18*(1+'0_设计说明'!$B$19)^(A21-1),0)</f>
        <v>107</v>
      </c>
      <c r="E21" s="6">
        <f>ROUND(B21*'0_设计说明'!$B$20+C21*'0_设计说明'!$B$21+D21*'0_设计说明'!$B$22,0)</f>
        <v>1885</v>
      </c>
      <c r="F21" s="6">
        <f>IF(A21=1,0,ROUND('0_设计说明'!$B$23*(1+'0_设计说明'!$B$24)^(A21-2),0))</f>
        <v>219</v>
      </c>
      <c r="G21" s="6">
        <f>SUM($F$4:F21)</f>
        <v>2359</v>
      </c>
      <c r="H21" s="1"/>
      <c r="I21" s="1"/>
      <c r="J21" s="1"/>
      <c r="K21" s="1"/>
    </row>
    <row r="22" spans="1:11" ht="15">
      <c r="A22" s="6">
        <v>19</v>
      </c>
      <c r="B22" s="6">
        <f>ROUND('0_设计说明'!$B$14*(1+'0_设计说明'!$B$15)^(A22-1),0)</f>
        <v>2621</v>
      </c>
      <c r="C22" s="6">
        <f>ROUND('0_设计说明'!$B$16*(1+'0_设计说明'!$B$17)^(A22-1),0)</f>
        <v>221</v>
      </c>
      <c r="D22" s="6">
        <f>ROUND('0_设计说明'!$B$18*(1+'0_设计说明'!$B$19)^(A22-1),0)</f>
        <v>111</v>
      </c>
      <c r="E22" s="6">
        <f>ROUND(B22*'0_设计说明'!$B$20+C22*'0_设计说明'!$B$21+D22*'0_设计说明'!$B$22,0)</f>
        <v>1974</v>
      </c>
      <c r="F22" s="6">
        <f>IF(A22=1,0,ROUND('0_设计说明'!$B$23*(1+'0_设计说明'!$B$24)^(A22-2),0))</f>
        <v>233</v>
      </c>
      <c r="G22" s="6">
        <f>SUM($F$4:F22)</f>
        <v>2592</v>
      </c>
      <c r="H22" s="1"/>
      <c r="I22" s="1"/>
      <c r="J22" s="1"/>
      <c r="K22" s="1"/>
    </row>
    <row r="23" spans="1:11" ht="15">
      <c r="A23" s="6">
        <v>20</v>
      </c>
      <c r="B23" s="6">
        <f>ROUND('0_设计说明'!$B$14*(1+'0_设计说明'!$B$15)^(A23-1),0)</f>
        <v>2766</v>
      </c>
      <c r="C23" s="6">
        <f>ROUND('0_设计说明'!$B$16*(1+'0_设计说明'!$B$17)^(A23-1),0)</f>
        <v>231</v>
      </c>
      <c r="D23" s="6">
        <f>ROUND('0_设计说明'!$B$18*(1+'0_设计说明'!$B$19)^(A23-1),0)</f>
        <v>116</v>
      </c>
      <c r="E23" s="6">
        <f>ROUND(B23*'0_设计说明'!$B$20+C23*'0_设计说明'!$B$21+D23*'0_设计说明'!$B$22,0)</f>
        <v>2066</v>
      </c>
      <c r="F23" s="6">
        <f>IF(A23=1,0,ROUND('0_设计说明'!$B$23*(1+'0_设计说明'!$B$24)^(A23-2),0))</f>
        <v>249</v>
      </c>
      <c r="G23" s="6">
        <f>SUM($F$4:F23)</f>
        <v>2841</v>
      </c>
      <c r="H23" s="1"/>
      <c r="I23" s="1"/>
      <c r="J23" s="1"/>
      <c r="K23" s="1"/>
    </row>
    <row r="24" spans="1:11" ht="15">
      <c r="A24" s="6">
        <v>21</v>
      </c>
      <c r="B24" s="6">
        <f>ROUND('0_设计说明'!$B$14*(1+'0_设计说明'!$B$15)^(A24-1),0)</f>
        <v>2918</v>
      </c>
      <c r="C24" s="6">
        <f>ROUND('0_设计说明'!$B$16*(1+'0_设计说明'!$B$17)^(A24-1),0)</f>
        <v>241</v>
      </c>
      <c r="D24" s="6">
        <f>ROUND('0_设计说明'!$B$18*(1+'0_设计说明'!$B$19)^(A24-1),0)</f>
        <v>121</v>
      </c>
      <c r="E24" s="6">
        <f>ROUND(B24*'0_设计说明'!$B$20+C24*'0_设计说明'!$B$21+D24*'0_设计说明'!$B$22,0)</f>
        <v>2159</v>
      </c>
      <c r="F24" s="6">
        <f>IF(A24=1,0,ROUND('0_设计说明'!$B$23*(1+'0_设计说明'!$B$24)^(A24-2),0))</f>
        <v>265</v>
      </c>
      <c r="G24" s="6">
        <f>SUM($F$4:F24)</f>
        <v>3106</v>
      </c>
      <c r="H24" s="1"/>
      <c r="I24" s="1"/>
      <c r="J24" s="1"/>
      <c r="K24" s="1"/>
    </row>
    <row r="25" spans="1:11" ht="15">
      <c r="A25" s="6">
        <v>22</v>
      </c>
      <c r="B25" s="6">
        <f>ROUND('0_设计说明'!$B$14*(1+'0_设计说明'!$B$15)^(A25-1),0)</f>
        <v>3078</v>
      </c>
      <c r="C25" s="6">
        <f>ROUND('0_设计说明'!$B$16*(1+'0_设计说明'!$B$17)^(A25-1),0)</f>
        <v>252</v>
      </c>
      <c r="D25" s="6">
        <f>ROUND('0_设计说明'!$B$18*(1+'0_设计说明'!$B$19)^(A25-1),0)</f>
        <v>125</v>
      </c>
      <c r="E25" s="6">
        <f>ROUND(B25*'0_设计说明'!$B$20+C25*'0_设计说明'!$B$21+D25*'0_设计说明'!$B$22,0)</f>
        <v>2256</v>
      </c>
      <c r="F25" s="6">
        <f>IF(A25=1,0,ROUND('0_设计说明'!$B$23*(1+'0_设计说明'!$B$24)^(A25-2),0))</f>
        <v>282</v>
      </c>
      <c r="G25" s="6">
        <f>SUM($F$4:F25)</f>
        <v>3388</v>
      </c>
      <c r="H25" s="1"/>
      <c r="I25" s="1"/>
      <c r="J25" s="1"/>
      <c r="K25" s="1"/>
    </row>
    <row r="26" spans="1:11" ht="15">
      <c r="A26" s="6">
        <v>23</v>
      </c>
      <c r="B26" s="6">
        <f>ROUND('0_设计说明'!$B$14*(1+'0_设计说明'!$B$15)^(A26-1),0)</f>
        <v>3248</v>
      </c>
      <c r="C26" s="6">
        <f>ROUND('0_设计说明'!$B$16*(1+'0_设计说明'!$B$17)^(A26-1),0)</f>
        <v>263</v>
      </c>
      <c r="D26" s="6">
        <f>ROUND('0_设计说明'!$B$18*(1+'0_设计说明'!$B$19)^(A26-1),0)</f>
        <v>130</v>
      </c>
      <c r="E26" s="6">
        <f>ROUND(B26*'0_设计说明'!$B$20+C26*'0_设计说明'!$B$21+D26*'0_设计说明'!$B$22,0)</f>
        <v>2358</v>
      </c>
      <c r="F26" s="6">
        <f>IF(A26=1,0,ROUND('0_设计说明'!$B$23*(1+'0_设计说明'!$B$24)^(A26-2),0))</f>
        <v>300</v>
      </c>
      <c r="G26" s="6">
        <f>SUM($F$4:F26)</f>
        <v>3688</v>
      </c>
      <c r="H26" s="1"/>
      <c r="I26" s="1"/>
      <c r="J26" s="1"/>
      <c r="K26" s="1"/>
    </row>
    <row r="27" spans="1:11" ht="15">
      <c r="A27" s="6">
        <v>24</v>
      </c>
      <c r="B27" s="6">
        <f>ROUND('0_设计说明'!$B$14*(1+'0_设计说明'!$B$15)^(A27-1),0)</f>
        <v>3426</v>
      </c>
      <c r="C27" s="6">
        <f>ROUND('0_设计说明'!$B$16*(1+'0_设计说明'!$B$17)^(A27-1),0)</f>
        <v>275</v>
      </c>
      <c r="D27" s="6">
        <f>ROUND('0_设计说明'!$B$18*(1+'0_设计说明'!$B$19)^(A27-1),0)</f>
        <v>136</v>
      </c>
      <c r="E27" s="6">
        <f>ROUND(B27*'0_设计说明'!$B$20+C27*'0_设计说明'!$B$21+D27*'0_设计说明'!$B$22,0)</f>
        <v>2469</v>
      </c>
      <c r="F27" s="6">
        <f>IF(A27=1,0,ROUND('0_设计说明'!$B$23*(1+'0_设计说明'!$B$24)^(A27-2),0))</f>
        <v>320</v>
      </c>
      <c r="G27" s="6">
        <f>SUM($F$4:F27)</f>
        <v>4008</v>
      </c>
      <c r="H27" s="1"/>
      <c r="I27" s="1"/>
      <c r="J27" s="1"/>
      <c r="K27" s="1"/>
    </row>
    <row r="28" spans="1:11" ht="15">
      <c r="A28" s="6">
        <v>25</v>
      </c>
      <c r="B28" s="6">
        <f>ROUND('0_设计说明'!$B$14*(1+'0_设计说明'!$B$15)^(A28-1),0)</f>
        <v>3615</v>
      </c>
      <c r="C28" s="6">
        <f>ROUND('0_设计说明'!$B$16*(1+'0_设计说明'!$B$17)^(A28-1),0)</f>
        <v>288</v>
      </c>
      <c r="D28" s="6">
        <f>ROUND('0_设计说明'!$B$18*(1+'0_设计说明'!$B$19)^(A28-1),0)</f>
        <v>141</v>
      </c>
      <c r="E28" s="6">
        <f>ROUND(B28*'0_设计说明'!$B$20+C28*'0_设计说明'!$B$21+D28*'0_设计说明'!$B$22,0)</f>
        <v>2585</v>
      </c>
      <c r="F28" s="6">
        <f>IF(A28=1,0,ROUND('0_设计说明'!$B$23*(1+'0_设计说明'!$B$24)^(A28-2),0))</f>
        <v>341</v>
      </c>
      <c r="G28" s="6">
        <f>SUM($F$4:F28)</f>
        <v>4349</v>
      </c>
      <c r="H28" s="1"/>
      <c r="I28" s="1"/>
      <c r="J28" s="1"/>
      <c r="K28" s="1"/>
    </row>
    <row r="29" spans="1:11" ht="15">
      <c r="A29" s="6">
        <v>26</v>
      </c>
      <c r="B29" s="6">
        <f>ROUND('0_设计说明'!$B$14*(1+'0_设计说明'!$B$15)^(A29-1),0)</f>
        <v>3813</v>
      </c>
      <c r="C29" s="6">
        <f>ROUND('0_设计说明'!$B$16*(1+'0_设计说明'!$B$17)^(A29-1),0)</f>
        <v>301</v>
      </c>
      <c r="D29" s="6">
        <f>ROUND('0_设计说明'!$B$18*(1+'0_设计说明'!$B$19)^(A29-1),0)</f>
        <v>147</v>
      </c>
      <c r="E29" s="6">
        <f>ROUND(B29*'0_设计说明'!$B$20+C29*'0_设计说明'!$B$21+D29*'0_设计说明'!$B$22,0)</f>
        <v>2705</v>
      </c>
      <c r="F29" s="6">
        <f>IF(A29=1,0,ROUND('0_设计说明'!$B$23*(1+'0_设计说明'!$B$24)^(A29-2),0))</f>
        <v>363</v>
      </c>
      <c r="G29" s="6">
        <f>SUM($F$4:F29)</f>
        <v>4712</v>
      </c>
      <c r="H29" s="1"/>
      <c r="I29" s="1"/>
      <c r="J29" s="1"/>
      <c r="K29" s="1"/>
    </row>
    <row r="30" spans="1:11" ht="15">
      <c r="A30" s="6">
        <v>27</v>
      </c>
      <c r="B30" s="6">
        <f>ROUND('0_设计说明'!$B$14*(1+'0_设计说明'!$B$15)^(A30-1),0)</f>
        <v>4023</v>
      </c>
      <c r="C30" s="6">
        <f>ROUND('0_设计说明'!$B$16*(1+'0_设计说明'!$B$17)^(A30-1),0)</f>
        <v>314</v>
      </c>
      <c r="D30" s="6">
        <f>ROUND('0_设计说明'!$B$18*(1+'0_设计说明'!$B$19)^(A30-1),0)</f>
        <v>152</v>
      </c>
      <c r="E30" s="6">
        <f>ROUND(B30*'0_设计说明'!$B$20+C30*'0_设计说明'!$B$21+D30*'0_设计说明'!$B$22,0)</f>
        <v>2823</v>
      </c>
      <c r="F30" s="6">
        <f>IF(A30=1,0,ROUND('0_设计说明'!$B$23*(1+'0_设计说明'!$B$24)^(A30-2),0))</f>
        <v>386</v>
      </c>
      <c r="G30" s="6">
        <f>SUM($F$4:F30)</f>
        <v>5098</v>
      </c>
      <c r="H30" s="1"/>
      <c r="I30" s="1"/>
      <c r="J30" s="1"/>
      <c r="K30" s="1"/>
    </row>
    <row r="31" spans="1:11" ht="15">
      <c r="A31" s="6">
        <v>28</v>
      </c>
      <c r="B31" s="6">
        <f>ROUND('0_设计说明'!$B$14*(1+'0_设计说明'!$B$15)^(A31-1),0)</f>
        <v>4244</v>
      </c>
      <c r="C31" s="6">
        <f>ROUND('0_设计说明'!$B$16*(1+'0_设计说明'!$B$17)^(A31-1),0)</f>
        <v>328</v>
      </c>
      <c r="D31" s="6">
        <f>ROUND('0_设计说明'!$B$18*(1+'0_设计说明'!$B$19)^(A31-1),0)</f>
        <v>159</v>
      </c>
      <c r="E31" s="6">
        <f>ROUND(B31*'0_设计说明'!$B$20+C31*'0_设计说明'!$B$21+D31*'0_设计说明'!$B$22,0)</f>
        <v>2954</v>
      </c>
      <c r="F31" s="6">
        <f>IF(A31=1,0,ROUND('0_设计说明'!$B$23*(1+'0_设计说明'!$B$24)^(A31-2),0))</f>
        <v>411</v>
      </c>
      <c r="G31" s="6">
        <f>SUM($F$4:F31)</f>
        <v>5509</v>
      </c>
      <c r="H31" s="1"/>
      <c r="I31" s="1"/>
      <c r="J31" s="1"/>
      <c r="K31" s="1"/>
    </row>
    <row r="32" spans="1:11" ht="15">
      <c r="A32" s="6">
        <v>29</v>
      </c>
      <c r="B32" s="6">
        <f>ROUND('0_设计说明'!$B$14*(1+'0_设计说明'!$B$15)^(A32-1),0)</f>
        <v>4478</v>
      </c>
      <c r="C32" s="6">
        <f>ROUND('0_设计说明'!$B$16*(1+'0_设计说明'!$B$17)^(A32-1),0)</f>
        <v>343</v>
      </c>
      <c r="D32" s="6">
        <f>ROUND('0_设计说明'!$B$18*(1+'0_设计说明'!$B$19)^(A32-1),0)</f>
        <v>165</v>
      </c>
      <c r="E32" s="6">
        <f>ROUND(B32*'0_设计说明'!$B$20+C32*'0_设计说明'!$B$21+D32*'0_设计说明'!$B$22,0)</f>
        <v>3090</v>
      </c>
      <c r="F32" s="6">
        <f>IF(A32=1,0,ROUND('0_设计说明'!$B$23*(1+'0_设计说明'!$B$24)^(A32-2),0))</f>
        <v>438</v>
      </c>
      <c r="G32" s="6">
        <f>SUM($F$4:F32)</f>
        <v>5947</v>
      </c>
      <c r="H32" s="1"/>
      <c r="I32" s="1"/>
      <c r="J32" s="1"/>
      <c r="K32" s="1"/>
    </row>
    <row r="33" spans="1:11" ht="15">
      <c r="A33" s="6">
        <v>30</v>
      </c>
      <c r="B33" s="6">
        <f>ROUND('0_设计说明'!$B$14*(1+'0_设计说明'!$B$15)^(A33-1),0)</f>
        <v>4724</v>
      </c>
      <c r="C33" s="6">
        <f>ROUND('0_设计说明'!$B$16*(1+'0_设计说明'!$B$17)^(A33-1),0)</f>
        <v>358</v>
      </c>
      <c r="D33" s="6">
        <f>ROUND('0_设计说明'!$B$18*(1+'0_设计说明'!$B$19)^(A33-1),0)</f>
        <v>172</v>
      </c>
      <c r="E33" s="6">
        <f>ROUND(B33*'0_设计说明'!$B$20+C33*'0_设计说明'!$B$21+D33*'0_设计说明'!$B$22,0)</f>
        <v>3231</v>
      </c>
      <c r="F33" s="6">
        <f>IF(A33=1,0,ROUND('0_设计说明'!$B$23*(1+'0_设计说明'!$B$24)^(A33-2),0))</f>
        <v>467</v>
      </c>
      <c r="G33" s="6">
        <f>SUM($F$4:F33)</f>
        <v>6414</v>
      </c>
      <c r="H33" s="1"/>
      <c r="I33" s="1"/>
      <c r="J33" s="1"/>
      <c r="K33" s="1"/>
    </row>
    <row r="34" spans="1:11" ht="15">
      <c r="A34" s="6">
        <v>31</v>
      </c>
      <c r="B34" s="6">
        <f>ROUND('0_设计说明'!$B$14*(1+'0_设计说明'!$B$15)^(A34-1),0)</f>
        <v>4984</v>
      </c>
      <c r="C34" s="6">
        <f>ROUND('0_设计说明'!$B$16*(1+'0_设计说明'!$B$17)^(A34-1),0)</f>
        <v>375</v>
      </c>
      <c r="D34" s="6">
        <f>ROUND('0_设计说明'!$B$18*(1+'0_设计说明'!$B$19)^(A34-1),0)</f>
        <v>178</v>
      </c>
      <c r="E34" s="6">
        <f>ROUND(B34*'0_设计说明'!$B$20+C34*'0_设计说明'!$B$21+D34*'0_设计说明'!$B$22,0)</f>
        <v>3382</v>
      </c>
      <c r="F34" s="6">
        <f>IF(A34=1,0,ROUND('0_设计说明'!$B$23*(1+'0_设计说明'!$B$24)^(A34-2),0))</f>
        <v>497</v>
      </c>
      <c r="G34" s="6">
        <f>SUM($F$4:F34)</f>
        <v>6911</v>
      </c>
      <c r="H34" s="1"/>
      <c r="I34" s="1"/>
      <c r="J34" s="1"/>
      <c r="K34" s="1"/>
    </row>
    <row r="35" spans="1:11" ht="15">
      <c r="A35" s="6">
        <v>32</v>
      </c>
      <c r="B35" s="6">
        <f>ROUND('0_设计说明'!$B$14*(1+'0_设计说明'!$B$15)^(A35-1),0)</f>
        <v>5258</v>
      </c>
      <c r="C35" s="6">
        <f>ROUND('0_设计说明'!$B$16*(1+'0_设计说明'!$B$17)^(A35-1),0)</f>
        <v>391</v>
      </c>
      <c r="D35" s="6">
        <f>ROUND('0_设计说明'!$B$18*(1+'0_设计说明'!$B$19)^(A35-1),0)</f>
        <v>186</v>
      </c>
      <c r="E35" s="6">
        <f>ROUND(B35*'0_设计说明'!$B$20+C35*'0_设计说明'!$B$21+D35*'0_设计说明'!$B$22,0)</f>
        <v>3535</v>
      </c>
      <c r="F35" s="6">
        <f>IF(A35=1,0,ROUND('0_设计说明'!$B$23*(1+'0_设计说明'!$B$24)^(A35-2),0))</f>
        <v>529</v>
      </c>
      <c r="G35" s="6">
        <f>SUM($F$4:F35)</f>
        <v>7440</v>
      </c>
      <c r="H35" s="1"/>
      <c r="I35" s="1"/>
      <c r="J35" s="1"/>
      <c r="K35" s="1"/>
    </row>
    <row r="36" spans="1:11" ht="15">
      <c r="A36" s="6">
        <v>33</v>
      </c>
      <c r="B36" s="6">
        <f>ROUND('0_设计说明'!$B$14*(1+'0_设计说明'!$B$15)^(A36-1),0)</f>
        <v>5547</v>
      </c>
      <c r="C36" s="6">
        <f>ROUND('0_设计说明'!$B$16*(1+'0_设计说明'!$B$17)^(A36-1),0)</f>
        <v>409</v>
      </c>
      <c r="D36" s="6">
        <f>ROUND('0_设计说明'!$B$18*(1+'0_设计说明'!$B$19)^(A36-1),0)</f>
        <v>193</v>
      </c>
      <c r="E36" s="6">
        <f>ROUND(B36*'0_设计说明'!$B$20+C36*'0_设计说明'!$B$21+D36*'0_设计说明'!$B$22,0)</f>
        <v>3699</v>
      </c>
      <c r="F36" s="6">
        <f>IF(A36=1,0,ROUND('0_设计说明'!$B$23*(1+'0_设计说明'!$B$24)^(A36-2),0))</f>
        <v>564</v>
      </c>
      <c r="G36" s="6">
        <f>SUM($F$4:F36)</f>
        <v>8004</v>
      </c>
      <c r="H36" s="1"/>
      <c r="I36" s="1"/>
      <c r="J36" s="1"/>
      <c r="K36" s="1"/>
    </row>
    <row r="37" spans="1:11" ht="15">
      <c r="A37" s="6">
        <v>34</v>
      </c>
      <c r="B37" s="6">
        <f>ROUND('0_设计说明'!$B$14*(1+'0_设计说明'!$B$15)^(A37-1),0)</f>
        <v>5852</v>
      </c>
      <c r="C37" s="6">
        <f>ROUND('0_设计说明'!$B$16*(1+'0_设计说明'!$B$17)^(A37-1),0)</f>
        <v>427</v>
      </c>
      <c r="D37" s="6">
        <f>ROUND('0_设计说明'!$B$18*(1+'0_设计说明'!$B$19)^(A37-1),0)</f>
        <v>201</v>
      </c>
      <c r="E37" s="6">
        <f>ROUND(B37*'0_设计说明'!$B$20+C37*'0_设计说明'!$B$21+D37*'0_设计说明'!$B$22,0)</f>
        <v>3867</v>
      </c>
      <c r="F37" s="6">
        <f>IF(A37=1,0,ROUND('0_设计说明'!$B$23*(1+'0_设计说明'!$B$24)^(A37-2),0))</f>
        <v>600</v>
      </c>
      <c r="G37" s="6">
        <f>SUM($F$4:F37)</f>
        <v>8604</v>
      </c>
      <c r="H37" s="1"/>
      <c r="I37" s="1"/>
      <c r="J37" s="1"/>
      <c r="K37" s="1"/>
    </row>
    <row r="38" spans="1:11" ht="15">
      <c r="A38" s="6">
        <v>35</v>
      </c>
      <c r="B38" s="6">
        <f>ROUND('0_设计说明'!$B$14*(1+'0_设计说明'!$B$15)^(A38-1),0)</f>
        <v>6174</v>
      </c>
      <c r="C38" s="6">
        <f>ROUND('0_设计说明'!$B$16*(1+'0_设计说明'!$B$17)^(A38-1),0)</f>
        <v>447</v>
      </c>
      <c r="D38" s="6">
        <f>ROUND('0_设计说明'!$B$18*(1+'0_设计说明'!$B$19)^(A38-1),0)</f>
        <v>209</v>
      </c>
      <c r="E38" s="6">
        <f>ROUND(B38*'0_设计说明'!$B$20+C38*'0_设计说明'!$B$21+D38*'0_设计说明'!$B$22,0)</f>
        <v>4050</v>
      </c>
      <c r="F38" s="6">
        <f>IF(A38=1,0,ROUND('0_设计说明'!$B$23*(1+'0_设计说明'!$B$24)^(A38-2),0))</f>
        <v>639</v>
      </c>
      <c r="G38" s="6">
        <f>SUM($F$4:F38)</f>
        <v>9243</v>
      </c>
      <c r="H38" s="1"/>
      <c r="I38" s="1"/>
      <c r="J38" s="1"/>
      <c r="K38" s="1"/>
    </row>
    <row r="39" spans="1:11" ht="15">
      <c r="A39" s="6">
        <v>36</v>
      </c>
      <c r="B39" s="6">
        <f>ROUND('0_设计说明'!$B$14*(1+'0_设计说明'!$B$15)^(A39-1),0)</f>
        <v>6514</v>
      </c>
      <c r="C39" s="6">
        <f>ROUND('0_设计说明'!$B$16*(1+'0_设计说明'!$B$17)^(A39-1),0)</f>
        <v>467</v>
      </c>
      <c r="D39" s="6">
        <f>ROUND('0_设计说明'!$B$18*(1+'0_设计说明'!$B$19)^(A39-1),0)</f>
        <v>217</v>
      </c>
      <c r="E39" s="6">
        <f>ROUND(B39*'0_设计说明'!$B$20+C39*'0_设计说明'!$B$21+D39*'0_设计说明'!$B$22,0)</f>
        <v>4235</v>
      </c>
      <c r="F39" s="6">
        <f>IF(A39=1,0,ROUND('0_设计说明'!$B$23*(1+'0_设计说明'!$B$24)^(A39-2),0))</f>
        <v>681</v>
      </c>
      <c r="G39" s="6">
        <f>SUM($F$4:F39)</f>
        <v>9924</v>
      </c>
      <c r="H39" s="1"/>
      <c r="I39" s="1"/>
      <c r="J39" s="1"/>
      <c r="K39" s="1"/>
    </row>
    <row r="40" spans="1:11" ht="15">
      <c r="A40" s="6">
        <v>37</v>
      </c>
      <c r="B40" s="6">
        <f>ROUND('0_设计说明'!$B$14*(1+'0_设计说明'!$B$15)^(A40-1),0)</f>
        <v>6872</v>
      </c>
      <c r="C40" s="6">
        <f>ROUND('0_设计说明'!$B$16*(1+'0_设计说明'!$B$17)^(A40-1),0)</f>
        <v>488</v>
      </c>
      <c r="D40" s="6">
        <f>ROUND('0_设计说明'!$B$18*(1+'0_设计说明'!$B$19)^(A40-1),0)</f>
        <v>226</v>
      </c>
      <c r="E40" s="6">
        <f>ROUND(B40*'0_设计说明'!$B$20+C40*'0_设计说明'!$B$21+D40*'0_设计说明'!$B$22,0)</f>
        <v>4431</v>
      </c>
      <c r="F40" s="6">
        <f>IF(A40=1,0,ROUND('0_设计说明'!$B$23*(1+'0_设计说明'!$B$24)^(A40-2),0))</f>
        <v>725</v>
      </c>
      <c r="G40" s="6">
        <f>SUM($F$4:F40)</f>
        <v>10649</v>
      </c>
      <c r="H40" s="1"/>
      <c r="I40" s="1"/>
      <c r="J40" s="1"/>
      <c r="K40" s="1"/>
    </row>
    <row r="41" spans="1:11" ht="15">
      <c r="A41" s="6">
        <v>38</v>
      </c>
      <c r="B41" s="6">
        <f>ROUND('0_设计说明'!$B$14*(1+'0_设计说明'!$B$15)^(A41-1),0)</f>
        <v>7250</v>
      </c>
      <c r="C41" s="6">
        <f>ROUND('0_设计说明'!$B$16*(1+'0_设计说明'!$B$17)^(A41-1),0)</f>
        <v>510</v>
      </c>
      <c r="D41" s="6">
        <f>ROUND('0_设计说明'!$B$18*(1+'0_设计说明'!$B$19)^(A41-1),0)</f>
        <v>235</v>
      </c>
      <c r="E41" s="6">
        <f>ROUND(B41*'0_设计说明'!$B$20+C41*'0_设计说明'!$B$21+D41*'0_设计说明'!$B$22,0)</f>
        <v>4635</v>
      </c>
      <c r="F41" s="6">
        <f>IF(A41=1,0,ROUND('0_设计说明'!$B$23*(1+'0_设计说明'!$B$24)^(A41-2),0))</f>
        <v>772</v>
      </c>
      <c r="G41" s="6">
        <f>SUM($F$4:F41)</f>
        <v>11421</v>
      </c>
      <c r="H41" s="1"/>
      <c r="I41" s="1"/>
      <c r="J41" s="1"/>
      <c r="K41" s="1"/>
    </row>
    <row r="42" spans="1:11" ht="15">
      <c r="A42" s="6">
        <v>39</v>
      </c>
      <c r="B42" s="6">
        <f>ROUND('0_设计说明'!$B$14*(1+'0_设计说明'!$B$15)^(A42-1),0)</f>
        <v>7649</v>
      </c>
      <c r="C42" s="6">
        <f>ROUND('0_设计说明'!$B$16*(1+'0_设计说明'!$B$17)^(A42-1),0)</f>
        <v>533</v>
      </c>
      <c r="D42" s="6">
        <f>ROUND('0_设计说明'!$B$18*(1+'0_设计说明'!$B$19)^(A42-1),0)</f>
        <v>244</v>
      </c>
      <c r="E42" s="6">
        <f>ROUND(B42*'0_设计说明'!$B$20+C42*'0_设计说明'!$B$21+D42*'0_设计说明'!$B$22,0)</f>
        <v>4848</v>
      </c>
      <c r="F42" s="6">
        <f>IF(A42=1,0,ROUND('0_设计说明'!$B$23*(1+'0_设计说明'!$B$24)^(A42-2),0))</f>
        <v>822</v>
      </c>
      <c r="G42" s="6">
        <f>SUM($F$4:F42)</f>
        <v>12243</v>
      </c>
      <c r="H42" s="1"/>
      <c r="I42" s="1"/>
      <c r="J42" s="1"/>
      <c r="K42" s="1"/>
    </row>
    <row r="43" spans="1:11" ht="15">
      <c r="A43" s="6">
        <v>40</v>
      </c>
      <c r="B43" s="6">
        <f>ROUND('0_设计说明'!$B$14*(1+'0_设计说明'!$B$15)^(A43-1),0)</f>
        <v>8069</v>
      </c>
      <c r="C43" s="6">
        <f>ROUND('0_设计说明'!$B$16*(1+'0_设计说明'!$B$17)^(A43-1),0)</f>
        <v>557</v>
      </c>
      <c r="D43" s="6">
        <f>ROUND('0_设计说明'!$B$18*(1+'0_设计说明'!$B$19)^(A43-1),0)</f>
        <v>254</v>
      </c>
      <c r="E43" s="6">
        <f>ROUND(B43*'0_设计说明'!$B$20+C43*'0_设计说明'!$B$21+D43*'0_设计说明'!$B$22,0)</f>
        <v>5072</v>
      </c>
      <c r="F43" s="6">
        <f>IF(A43=1,0,ROUND('0_设计说明'!$B$23*(1+'0_设计说明'!$B$24)^(A43-2),0))</f>
        <v>876</v>
      </c>
      <c r="G43" s="6">
        <f>SUM($F$4:F43)</f>
        <v>13119</v>
      </c>
      <c r="H43" s="1"/>
      <c r="I43" s="1"/>
      <c r="J43" s="1"/>
      <c r="K43" s="1"/>
    </row>
    <row r="44" spans="1:11" ht="15">
      <c r="A44" s="6">
        <v>41</v>
      </c>
      <c r="B44" s="6">
        <f>ROUND('0_设计说明'!$B$14*(1+'0_设计说明'!$B$15)^(A44-1),0)</f>
        <v>8513</v>
      </c>
      <c r="C44" s="6">
        <f>ROUND('0_设计说明'!$B$16*(1+'0_设计说明'!$B$17)^(A44-1),0)</f>
        <v>582</v>
      </c>
      <c r="D44" s="6">
        <f>ROUND('0_设计说明'!$B$18*(1+'0_设计说明'!$B$19)^(A44-1),0)</f>
        <v>264</v>
      </c>
      <c r="E44" s="6">
        <f>ROUND(B44*'0_设计说明'!$B$20+C44*'0_设计说明'!$B$21+D44*'0_设计说明'!$B$22,0)</f>
        <v>5306</v>
      </c>
      <c r="F44" s="6">
        <f>IF(A44=1,0,ROUND('0_设计说明'!$B$23*(1+'0_设计说明'!$B$24)^(A44-2),0))</f>
        <v>933</v>
      </c>
      <c r="G44" s="6">
        <f>SUM($F$4:F44)</f>
        <v>14052</v>
      </c>
      <c r="H44" s="1"/>
      <c r="I44" s="1"/>
      <c r="J44" s="1"/>
      <c r="K44" s="1"/>
    </row>
    <row r="45" spans="1:11" ht="15">
      <c r="A45" s="6">
        <v>42</v>
      </c>
      <c r="B45" s="6">
        <f>ROUND('0_设计说明'!$B$14*(1+'0_设计说明'!$B$15)^(A45-1),0)</f>
        <v>8982</v>
      </c>
      <c r="C45" s="6">
        <f>ROUND('0_设计说明'!$B$16*(1+'0_设计说明'!$B$17)^(A45-1),0)</f>
        <v>608</v>
      </c>
      <c r="D45" s="6">
        <f>ROUND('0_设计说明'!$B$18*(1+'0_设计说明'!$B$19)^(A45-1),0)</f>
        <v>275</v>
      </c>
      <c r="E45" s="6">
        <f>ROUND(B45*'0_设计说明'!$B$20+C45*'0_设计说明'!$B$21+D45*'0_设计说明'!$B$22,0)</f>
        <v>5551</v>
      </c>
      <c r="F45" s="6">
        <f>IF(A45=1,0,ROUND('0_设计说明'!$B$23*(1+'0_设计说明'!$B$24)^(A45-2),0))</f>
        <v>993</v>
      </c>
      <c r="G45" s="6">
        <f>SUM($F$4:F45)</f>
        <v>15045</v>
      </c>
      <c r="H45" s="1"/>
      <c r="I45" s="1"/>
      <c r="J45" s="1"/>
      <c r="K45" s="1"/>
    </row>
    <row r="46" spans="1:11" ht="15">
      <c r="A46" s="6">
        <v>43</v>
      </c>
      <c r="B46" s="6">
        <f>ROUND('0_设计说明'!$B$14*(1+'0_设计说明'!$B$15)^(A46-1),0)</f>
        <v>9476</v>
      </c>
      <c r="C46" s="6">
        <f>ROUND('0_设计说明'!$B$16*(1+'0_设计说明'!$B$17)^(A46-1),0)</f>
        <v>635</v>
      </c>
      <c r="D46" s="6">
        <f>ROUND('0_设计说明'!$B$18*(1+'0_设计说明'!$B$19)^(A46-1),0)</f>
        <v>286</v>
      </c>
      <c r="E46" s="6">
        <f>ROUND(B46*'0_设计说明'!$B$20+C46*'0_设计说明'!$B$21+D46*'0_设计说明'!$B$22,0)</f>
        <v>5805</v>
      </c>
      <c r="F46" s="6">
        <f>IF(A46=1,0,ROUND('0_设计说明'!$B$23*(1+'0_设计说明'!$B$24)^(A46-2),0))</f>
        <v>1058</v>
      </c>
      <c r="G46" s="6">
        <f>SUM($F$4:F46)</f>
        <v>16103</v>
      </c>
      <c r="H46" s="1"/>
      <c r="I46" s="1"/>
      <c r="J46" s="1"/>
      <c r="K46" s="1"/>
    </row>
    <row r="47" spans="1:11" ht="15">
      <c r="A47" s="6">
        <v>44</v>
      </c>
      <c r="B47" s="6">
        <f>ROUND('0_设计说明'!$B$14*(1+'0_设计说明'!$B$15)^(A47-1),0)</f>
        <v>9997</v>
      </c>
      <c r="C47" s="6">
        <f>ROUND('0_设计说明'!$B$16*(1+'0_设计说明'!$B$17)^(A47-1),0)</f>
        <v>664</v>
      </c>
      <c r="D47" s="6">
        <f>ROUND('0_设计说明'!$B$18*(1+'0_设计说明'!$B$19)^(A47-1),0)</f>
        <v>297</v>
      </c>
      <c r="E47" s="6">
        <f>ROUND(B47*'0_设计说明'!$B$20+C47*'0_设计说明'!$B$21+D47*'0_设计说明'!$B$22,0)</f>
        <v>6075</v>
      </c>
      <c r="F47" s="6">
        <f>IF(A47=1,0,ROUND('0_设计说明'!$B$23*(1+'0_设计说明'!$B$24)^(A47-2),0))</f>
        <v>1127</v>
      </c>
      <c r="G47" s="6">
        <f>SUM($F$4:F47)</f>
        <v>17230</v>
      </c>
      <c r="H47" s="1"/>
      <c r="I47" s="1"/>
      <c r="J47" s="1"/>
      <c r="K47" s="1"/>
    </row>
    <row r="48" spans="1:11" ht="15">
      <c r="A48" s="6">
        <v>45</v>
      </c>
      <c r="B48" s="6">
        <f>ROUND('0_设计说明'!$B$14*(1+'0_设计说明'!$B$15)^(A48-1),0)</f>
        <v>10546</v>
      </c>
      <c r="C48" s="6">
        <f>ROUND('0_设计说明'!$B$16*(1+'0_设计说明'!$B$17)^(A48-1),0)</f>
        <v>694</v>
      </c>
      <c r="D48" s="6">
        <f>ROUND('0_设计说明'!$B$18*(1+'0_设计说明'!$B$19)^(A48-1),0)</f>
        <v>309</v>
      </c>
      <c r="E48" s="6">
        <f>ROUND(B48*'0_设计说明'!$B$20+C48*'0_设计说明'!$B$21+D48*'0_设计说明'!$B$22,0)</f>
        <v>6357</v>
      </c>
      <c r="F48" s="6">
        <f>IF(A48=1,0,ROUND('0_设计说明'!$B$23*(1+'0_设计说明'!$B$24)^(A48-2),0))</f>
        <v>1200</v>
      </c>
      <c r="G48" s="6">
        <f>SUM($F$4:F48)</f>
        <v>18430</v>
      </c>
      <c r="H48" s="1"/>
      <c r="I48" s="1"/>
      <c r="J48" s="1"/>
      <c r="K48" s="1"/>
    </row>
    <row r="49" spans="1:11" ht="15">
      <c r="A49" s="6">
        <v>46</v>
      </c>
      <c r="B49" s="6">
        <f>ROUND('0_设计说明'!$B$14*(1+'0_设计说明'!$B$15)^(A49-1),0)</f>
        <v>11127</v>
      </c>
      <c r="C49" s="6">
        <f>ROUND('0_设计说明'!$B$16*(1+'0_设计说明'!$B$17)^(A49-1),0)</f>
        <v>725</v>
      </c>
      <c r="D49" s="6">
        <f>ROUND('0_设计说明'!$B$18*(1+'0_设计说明'!$B$19)^(A49-1),0)</f>
        <v>321</v>
      </c>
      <c r="E49" s="6">
        <f>ROUND(B49*'0_设计说明'!$B$20+C49*'0_设计说明'!$B$21+D49*'0_设计说明'!$B$22,0)</f>
        <v>6648</v>
      </c>
      <c r="F49" s="6">
        <f>IF(A49=1,0,ROUND('0_设计说明'!$B$23*(1+'0_设计说明'!$B$24)^(A49-2),0))</f>
        <v>1278</v>
      </c>
      <c r="G49" s="6">
        <f>SUM($F$4:F49)</f>
        <v>19708</v>
      </c>
      <c r="H49" s="1"/>
      <c r="I49" s="1"/>
      <c r="J49" s="1"/>
      <c r="K49" s="1"/>
    </row>
    <row r="50" spans="1:11" ht="15">
      <c r="A50" s="6">
        <v>47</v>
      </c>
      <c r="B50" s="6">
        <f>ROUND('0_设计说明'!$B$14*(1+'0_设计说明'!$B$15)^(A50-1),0)</f>
        <v>11739</v>
      </c>
      <c r="C50" s="6">
        <f>ROUND('0_设计说明'!$B$16*(1+'0_设计说明'!$B$17)^(A50-1),0)</f>
        <v>757</v>
      </c>
      <c r="D50" s="6">
        <f>ROUND('0_设计说明'!$B$18*(1+'0_设计说明'!$B$19)^(A50-1),0)</f>
        <v>334</v>
      </c>
      <c r="E50" s="6">
        <f>ROUND(B50*'0_设计说明'!$B$20+C50*'0_设计说明'!$B$21+D50*'0_设计说明'!$B$22,0)</f>
        <v>6953</v>
      </c>
      <c r="F50" s="6">
        <f>IF(A50=1,0,ROUND('0_设计说明'!$B$23*(1+'0_设计说明'!$B$24)^(A50-2),0))</f>
        <v>1361</v>
      </c>
      <c r="G50" s="6">
        <f>SUM($F$4:F50)</f>
        <v>21069</v>
      </c>
      <c r="H50" s="1"/>
      <c r="I50" s="1"/>
      <c r="J50" s="1"/>
      <c r="K50" s="1"/>
    </row>
    <row r="51" spans="1:11" ht="15">
      <c r="A51" s="6">
        <v>48</v>
      </c>
      <c r="B51" s="6">
        <f>ROUND('0_设计说明'!$B$14*(1+'0_设计说明'!$B$15)^(A51-1),0)</f>
        <v>12384</v>
      </c>
      <c r="C51" s="6">
        <f>ROUND('0_设计说明'!$B$16*(1+'0_设计说明'!$B$17)^(A51-1),0)</f>
        <v>792</v>
      </c>
      <c r="D51" s="6">
        <f>ROUND('0_设计说明'!$B$18*(1+'0_设计说明'!$B$19)^(A51-1),0)</f>
        <v>347</v>
      </c>
      <c r="E51" s="6">
        <f>ROUND(B51*'0_设计说明'!$B$20+C51*'0_设计说明'!$B$21+D51*'0_设计说明'!$B$22,0)</f>
        <v>7279</v>
      </c>
      <c r="F51" s="6">
        <f>IF(A51=1,0,ROUND('0_设计说明'!$B$23*(1+'0_设计说明'!$B$24)^(A51-2),0))</f>
        <v>1449</v>
      </c>
      <c r="G51" s="6">
        <f>SUM($F$4:F51)</f>
        <v>22518</v>
      </c>
      <c r="H51" s="1"/>
      <c r="I51" s="1"/>
      <c r="J51" s="1"/>
      <c r="K51" s="1"/>
    </row>
    <row r="52" spans="1:11" ht="15">
      <c r="A52" s="6">
        <v>49</v>
      </c>
      <c r="B52" s="6">
        <f>ROUND('0_设计说明'!$B$14*(1+'0_设计说明'!$B$15)^(A52-1),0)</f>
        <v>13065</v>
      </c>
      <c r="C52" s="6">
        <f>ROUND('0_设计说明'!$B$16*(1+'0_设计说明'!$B$17)^(A52-1),0)</f>
        <v>827</v>
      </c>
      <c r="D52" s="6">
        <f>ROUND('0_设计说明'!$B$18*(1+'0_设计说明'!$B$19)^(A52-1),0)</f>
        <v>361</v>
      </c>
      <c r="E52" s="6">
        <f>ROUND(B52*'0_设计说明'!$B$20+C52*'0_设计说明'!$B$21+D52*'0_设计说明'!$B$22,0)</f>
        <v>7613</v>
      </c>
      <c r="F52" s="6">
        <f>IF(A52=1,0,ROUND('0_设计说明'!$B$23*(1+'0_设计说明'!$B$24)^(A52-2),0))</f>
        <v>1544</v>
      </c>
      <c r="G52" s="6">
        <f>SUM($F$4:F52)</f>
        <v>24062</v>
      </c>
      <c r="H52" s="1"/>
      <c r="I52" s="1"/>
      <c r="J52" s="1"/>
      <c r="K52" s="1"/>
    </row>
    <row r="53" spans="1:11" ht="15">
      <c r="A53" s="6">
        <v>50</v>
      </c>
      <c r="B53" s="6">
        <f>ROUND('0_设计说明'!$B$14*(1+'0_设计说明'!$B$15)^(A53-1),0)</f>
        <v>13784</v>
      </c>
      <c r="C53" s="6">
        <f>ROUND('0_设计说明'!$B$16*(1+'0_设计说明'!$B$17)^(A53-1),0)</f>
        <v>864</v>
      </c>
      <c r="D53" s="6">
        <f>ROUND('0_设计说明'!$B$18*(1+'0_设计说明'!$B$19)^(A53-1),0)</f>
        <v>376</v>
      </c>
      <c r="E53" s="6">
        <f>ROUND(B53*'0_设计说明'!$B$20+C53*'0_设计说明'!$B$21+D53*'0_设计说明'!$B$22,0)</f>
        <v>7966</v>
      </c>
      <c r="F53" s="6">
        <f>IF(A53=1,0,ROUND('0_设计说明'!$B$23*(1+'0_设计说明'!$B$24)^(A53-2),0))</f>
        <v>1644</v>
      </c>
      <c r="G53" s="6">
        <f>SUM($F$4:F53)</f>
        <v>25706</v>
      </c>
      <c r="H53" s="1"/>
      <c r="I53" s="1"/>
      <c r="J53" s="1"/>
      <c r="K53" s="1"/>
    </row>
    <row r="54" spans="1:11" ht="15">
      <c r="A54" s="6">
        <v>51</v>
      </c>
      <c r="B54" s="6">
        <f>ROUND('0_设计说明'!$B$14*(1+'0_设计说明'!$B$15)^(A54-1),0)</f>
        <v>14542</v>
      </c>
      <c r="C54" s="6">
        <f>ROUND('0_设计说明'!$B$16*(1+'0_设计说明'!$B$17)^(A54-1),0)</f>
        <v>903</v>
      </c>
      <c r="D54" s="6">
        <f>ROUND('0_设计说明'!$B$18*(1+'0_设计说明'!$B$19)^(A54-1),0)</f>
        <v>391</v>
      </c>
      <c r="E54" s="6">
        <f>ROUND(B54*'0_设计说明'!$B$20+C54*'0_设计说明'!$B$21+D54*'0_设计说明'!$B$22,0)</f>
        <v>8336</v>
      </c>
      <c r="F54" s="6">
        <f>IF(A54=1,0,ROUND('0_设计说明'!$B$23*(1+'0_设计说明'!$B$24)^(A54-2),0))</f>
        <v>1751</v>
      </c>
      <c r="G54" s="6">
        <f>SUM($F$4:F54)</f>
        <v>27457</v>
      </c>
      <c r="H54" s="1"/>
      <c r="I54" s="1"/>
      <c r="J54" s="1"/>
      <c r="K54" s="1"/>
    </row>
    <row r="55" spans="1:11" ht="15">
      <c r="A55" s="6">
        <v>52</v>
      </c>
      <c r="B55" s="6">
        <f>ROUND('0_设计说明'!$B$14*(1+'0_设计说明'!$B$15)^(A55-1),0)</f>
        <v>15342</v>
      </c>
      <c r="C55" s="6">
        <f>ROUND('0_设计说明'!$B$16*(1+'0_设计说明'!$B$17)^(A55-1),0)</f>
        <v>944</v>
      </c>
      <c r="D55" s="6">
        <f>ROUND('0_设计说明'!$B$18*(1+'0_设计说明'!$B$19)^(A55-1),0)</f>
        <v>407</v>
      </c>
      <c r="E55" s="6">
        <f>ROUND(B55*'0_设计说明'!$B$20+C55*'0_设计说明'!$B$21+D55*'0_设计说明'!$B$22,0)</f>
        <v>8726</v>
      </c>
      <c r="F55" s="6">
        <f>IF(A55=1,0,ROUND('0_设计说明'!$B$23*(1+'0_设计说明'!$B$24)^(A55-2),0))</f>
        <v>1865</v>
      </c>
      <c r="G55" s="6">
        <f>SUM($F$4:F55)</f>
        <v>29322</v>
      </c>
      <c r="H55" s="1"/>
      <c r="I55" s="1"/>
      <c r="J55" s="1"/>
      <c r="K55" s="1"/>
    </row>
    <row r="56" spans="1:11" ht="15">
      <c r="A56" s="6">
        <v>53</v>
      </c>
      <c r="B56" s="6">
        <f>ROUND('0_设计说明'!$B$14*(1+'0_设计说明'!$B$15)^(A56-1),0)</f>
        <v>16186</v>
      </c>
      <c r="C56" s="6">
        <f>ROUND('0_设计说明'!$B$16*(1+'0_设计说明'!$B$17)^(A56-1),0)</f>
        <v>986</v>
      </c>
      <c r="D56" s="6">
        <f>ROUND('0_设计说明'!$B$18*(1+'0_设计说明'!$B$19)^(A56-1),0)</f>
        <v>423</v>
      </c>
      <c r="E56" s="6">
        <f>ROUND(B56*'0_设计说明'!$B$20+C56*'0_设计说明'!$B$21+D56*'0_设计说明'!$B$22,0)</f>
        <v>9127</v>
      </c>
      <c r="F56" s="6">
        <f>IF(A56=1,0,ROUND('0_设计说明'!$B$23*(1+'0_设计说明'!$B$24)^(A56-2),0))</f>
        <v>1986</v>
      </c>
      <c r="G56" s="6">
        <f>SUM($F$4:F56)</f>
        <v>31308</v>
      </c>
      <c r="H56" s="1"/>
      <c r="I56" s="1"/>
      <c r="J56" s="1"/>
      <c r="K56" s="1"/>
    </row>
    <row r="57" spans="1:11" ht="15">
      <c r="A57" s="6">
        <v>54</v>
      </c>
      <c r="B57" s="6">
        <f>ROUND('0_设计说明'!$B$14*(1+'0_设计说明'!$B$15)^(A57-1),0)</f>
        <v>17076</v>
      </c>
      <c r="C57" s="6">
        <f>ROUND('0_设计说明'!$B$16*(1+'0_设计说明'!$B$17)^(A57-1),0)</f>
        <v>1031</v>
      </c>
      <c r="D57" s="6">
        <f>ROUND('0_设计说明'!$B$18*(1+'0_设计说明'!$B$19)^(A57-1),0)</f>
        <v>440</v>
      </c>
      <c r="E57" s="6">
        <f>ROUND(B57*'0_设计说明'!$B$20+C57*'0_设计说明'!$B$21+D57*'0_设计说明'!$B$22,0)</f>
        <v>9555</v>
      </c>
      <c r="F57" s="6">
        <f>IF(A57=1,0,ROUND('0_设计说明'!$B$23*(1+'0_设计说明'!$B$24)^(A57-2),0))</f>
        <v>2115</v>
      </c>
      <c r="G57" s="6">
        <f>SUM($F$4:F57)</f>
        <v>33423</v>
      </c>
      <c r="H57" s="1"/>
      <c r="I57" s="1"/>
      <c r="J57" s="1"/>
      <c r="K57" s="1"/>
    </row>
    <row r="58" spans="1:11" ht="15">
      <c r="A58" s="6">
        <v>55</v>
      </c>
      <c r="B58" s="6">
        <f>ROUND('0_设计说明'!$B$14*(1+'0_设计说明'!$B$15)^(A58-1),0)</f>
        <v>18015</v>
      </c>
      <c r="C58" s="6">
        <f>ROUND('0_设计说明'!$B$16*(1+'0_设计说明'!$B$17)^(A58-1),0)</f>
        <v>1077</v>
      </c>
      <c r="D58" s="6">
        <f>ROUND('0_设计说明'!$B$18*(1+'0_设计说明'!$B$19)^(A58-1),0)</f>
        <v>457</v>
      </c>
      <c r="E58" s="6">
        <f>ROUND(B58*'0_设计说明'!$B$20+C58*'0_设计说明'!$B$21+D58*'0_设计说明'!$B$22,0)</f>
        <v>9995</v>
      </c>
      <c r="F58" s="6">
        <f>IF(A58=1,0,ROUND('0_设计说明'!$B$23*(1+'0_设计说明'!$B$24)^(A58-2),0))</f>
        <v>2252</v>
      </c>
      <c r="G58" s="6">
        <f>SUM($F$4:F58)</f>
        <v>35675</v>
      </c>
      <c r="H58" s="1"/>
      <c r="I58" s="1"/>
      <c r="J58" s="1"/>
      <c r="K58" s="1"/>
    </row>
    <row r="59" spans="1:11" ht="15">
      <c r="A59" s="6">
        <v>56</v>
      </c>
      <c r="B59" s="6">
        <f>ROUND('0_设计说明'!$B$14*(1+'0_设计说明'!$B$15)^(A59-1),0)</f>
        <v>19006</v>
      </c>
      <c r="C59" s="6">
        <f>ROUND('0_设计说明'!$B$16*(1+'0_设计说明'!$B$17)^(A59-1),0)</f>
        <v>1126</v>
      </c>
      <c r="D59" s="6">
        <f>ROUND('0_设计说明'!$B$18*(1+'0_设计说明'!$B$19)^(A59-1),0)</f>
        <v>476</v>
      </c>
      <c r="E59" s="6">
        <f>ROUND(B59*'0_设计说明'!$B$20+C59*'0_设计说明'!$B$21+D59*'0_设计说明'!$B$22,0)</f>
        <v>10465</v>
      </c>
      <c r="F59" s="6">
        <f>IF(A59=1,0,ROUND('0_设计说明'!$B$23*(1+'0_设计说明'!$B$24)^(A59-2),0))</f>
        <v>2399</v>
      </c>
      <c r="G59" s="6">
        <f>SUM($F$4:F59)</f>
        <v>38074</v>
      </c>
      <c r="H59" s="1"/>
      <c r="I59" s="1"/>
      <c r="J59" s="1"/>
      <c r="K59" s="1"/>
    </row>
    <row r="60" spans="1:11" ht="15">
      <c r="A60" s="6">
        <v>57</v>
      </c>
      <c r="B60" s="6">
        <f>ROUND('0_设计说明'!$B$14*(1+'0_设计说明'!$B$15)^(A60-1),0)</f>
        <v>20051</v>
      </c>
      <c r="C60" s="6">
        <f>ROUND('0_设计说明'!$B$16*(1+'0_设计说明'!$B$17)^(A60-1),0)</f>
        <v>1176</v>
      </c>
      <c r="D60" s="6">
        <f>ROUND('0_设计说明'!$B$18*(1+'0_设计说明'!$B$19)^(A60-1),0)</f>
        <v>495</v>
      </c>
      <c r="E60" s="6">
        <f>ROUND(B60*'0_设计说明'!$B$20+C60*'0_设计说明'!$B$21+D60*'0_设计说明'!$B$22,0)</f>
        <v>10947</v>
      </c>
      <c r="F60" s="6">
        <f>IF(A60=1,0,ROUND('0_设计说明'!$B$23*(1+'0_设计说明'!$B$24)^(A60-2),0))</f>
        <v>2555</v>
      </c>
      <c r="G60" s="6">
        <f>SUM($F$4:F60)</f>
        <v>40629</v>
      </c>
      <c r="H60" s="1"/>
      <c r="I60" s="1"/>
      <c r="J60" s="1"/>
      <c r="K60" s="1"/>
    </row>
    <row r="61" spans="1:11" ht="15">
      <c r="A61" s="6">
        <v>58</v>
      </c>
      <c r="B61" s="6">
        <f>ROUND('0_设计说明'!$B$14*(1+'0_设计说明'!$B$15)^(A61-1),0)</f>
        <v>21154</v>
      </c>
      <c r="C61" s="6">
        <f>ROUND('0_设计说明'!$B$16*(1+'0_设计说明'!$B$17)^(A61-1),0)</f>
        <v>1229</v>
      </c>
      <c r="D61" s="6">
        <f>ROUND('0_设计说明'!$B$18*(1+'0_设计说明'!$B$19)^(A61-1),0)</f>
        <v>514</v>
      </c>
      <c r="E61" s="6">
        <f>ROUND(B61*'0_设计说明'!$B$20+C61*'0_设计说明'!$B$21+D61*'0_设计说明'!$B$22,0)</f>
        <v>11454</v>
      </c>
      <c r="F61" s="6">
        <f>IF(A61=1,0,ROUND('0_设计说明'!$B$23*(1+'0_设计说明'!$B$24)^(A61-2),0))</f>
        <v>2721</v>
      </c>
      <c r="G61" s="6">
        <f>SUM($F$4:F61)</f>
        <v>43350</v>
      </c>
      <c r="H61" s="1"/>
      <c r="I61" s="1"/>
      <c r="J61" s="1"/>
      <c r="K61" s="1"/>
    </row>
    <row r="62" spans="1:11" ht="15">
      <c r="A62" s="6">
        <v>59</v>
      </c>
      <c r="B62" s="6">
        <f>ROUND('0_设计说明'!$B$14*(1+'0_设计说明'!$B$15)^(A62-1),0)</f>
        <v>22317</v>
      </c>
      <c r="C62" s="6">
        <f>ROUND('0_设计说明'!$B$16*(1+'0_设计说明'!$B$17)^(A62-1),0)</f>
        <v>1285</v>
      </c>
      <c r="D62" s="6">
        <f>ROUND('0_设计说明'!$B$18*(1+'0_设计说明'!$B$19)^(A62-1),0)</f>
        <v>535</v>
      </c>
      <c r="E62" s="6">
        <f>ROUND(B62*'0_设计说明'!$B$20+C62*'0_设计说明'!$B$21+D62*'0_设计说明'!$B$22,0)</f>
        <v>11993</v>
      </c>
      <c r="F62" s="6">
        <f>IF(A62=1,0,ROUND('0_设计说明'!$B$23*(1+'0_设计说明'!$B$24)^(A62-2),0))</f>
        <v>2897</v>
      </c>
      <c r="G62" s="6">
        <f>SUM($F$4:F62)</f>
        <v>46247</v>
      </c>
      <c r="H62" s="1"/>
      <c r="I62" s="1"/>
      <c r="J62" s="1"/>
      <c r="K62" s="1"/>
    </row>
    <row r="63" spans="1:11" ht="15">
      <c r="A63" s="6">
        <v>60</v>
      </c>
      <c r="B63" s="6">
        <f>ROUND('0_设计说明'!$B$14*(1+'0_设计说明'!$B$15)^(A63-1),0)</f>
        <v>23545</v>
      </c>
      <c r="C63" s="6">
        <f>ROUND('0_设计说明'!$B$16*(1+'0_设计说明'!$B$17)^(A63-1),0)</f>
        <v>1342</v>
      </c>
      <c r="D63" s="6">
        <f>ROUND('0_设计说明'!$B$18*(1+'0_设计说明'!$B$19)^(A63-1),0)</f>
        <v>556</v>
      </c>
      <c r="E63" s="6">
        <f>ROUND(B63*'0_设计说明'!$B$20+C63*'0_设计说明'!$B$21+D63*'0_设计说明'!$B$22,0)</f>
        <v>12545</v>
      </c>
      <c r="F63" s="6">
        <f>IF(A63=1,0,ROUND('0_设计说明'!$B$23*(1+'0_设计说明'!$B$24)^(A63-2),0))</f>
        <v>3086</v>
      </c>
      <c r="G63" s="6">
        <f>SUM($F$4:F63)</f>
        <v>49333</v>
      </c>
      <c r="H63" s="1"/>
      <c r="I63" s="1"/>
      <c r="J63" s="1"/>
      <c r="K63" s="1"/>
    </row>
    <row r="64" spans="1:11" ht="15">
      <c r="A64" s="6">
        <v>61</v>
      </c>
      <c r="B64" s="6">
        <f>ROUND('0_设计说明'!$B$14*(1+'0_设计说明'!$B$15)^(A64-1),0)</f>
        <v>24840</v>
      </c>
      <c r="C64" s="6">
        <f>ROUND('0_设计说明'!$B$16*(1+'0_设计说明'!$B$17)^(A64-1),0)</f>
        <v>1403</v>
      </c>
      <c r="D64" s="6">
        <f>ROUND('0_设计说明'!$B$18*(1+'0_设计说明'!$B$19)^(A64-1),0)</f>
        <v>579</v>
      </c>
      <c r="E64" s="6">
        <f>ROUND(B64*'0_设计说明'!$B$20+C64*'0_设计说明'!$B$21+D64*'0_设计说明'!$B$22,0)</f>
        <v>13136</v>
      </c>
      <c r="F64" s="6">
        <f>IF(A64=1,0,ROUND('0_设计说明'!$B$23*(1+'0_设计说明'!$B$24)^(A64-2),0))</f>
        <v>3286</v>
      </c>
      <c r="G64" s="6">
        <f>SUM($F$4:F64)</f>
        <v>52619</v>
      </c>
      <c r="H64" s="1"/>
      <c r="I64" s="1"/>
      <c r="J64" s="1"/>
      <c r="K64" s="1"/>
    </row>
    <row r="65" spans="1:11" ht="15">
      <c r="A65" s="6">
        <v>62</v>
      </c>
      <c r="B65" s="6">
        <f>ROUND('0_设计说明'!$B$14*(1+'0_设计说明'!$B$15)^(A65-1),0)</f>
        <v>26206</v>
      </c>
      <c r="C65" s="6">
        <f>ROUND('0_设计说明'!$B$16*(1+'0_设计说明'!$B$17)^(A65-1),0)</f>
        <v>1466</v>
      </c>
      <c r="D65" s="6">
        <f>ROUND('0_设计说明'!$B$18*(1+'0_设计说明'!$B$19)^(A65-1),0)</f>
        <v>602</v>
      </c>
      <c r="E65" s="6">
        <f>ROUND(B65*'0_设计说明'!$B$20+C65*'0_设计说明'!$B$21+D65*'0_设计说明'!$B$22,0)</f>
        <v>13747</v>
      </c>
      <c r="F65" s="6">
        <f>IF(A65=1,0,ROUND('0_设计说明'!$B$23*(1+'0_设计说明'!$B$24)^(A65-2),0))</f>
        <v>3500</v>
      </c>
      <c r="G65" s="6">
        <f>SUM($F$4:F65)</f>
        <v>56119</v>
      </c>
      <c r="H65" s="1"/>
      <c r="I65" s="1"/>
      <c r="J65" s="1"/>
      <c r="K65" s="1"/>
    </row>
    <row r="66" spans="1:11" ht="15">
      <c r="A66" s="6">
        <v>63</v>
      </c>
      <c r="B66" s="6">
        <f>ROUND('0_设计说明'!$B$14*(1+'0_设计说明'!$B$15)^(A66-1),0)</f>
        <v>27647</v>
      </c>
      <c r="C66" s="6">
        <f>ROUND('0_设计说明'!$B$16*(1+'0_设计说明'!$B$17)^(A66-1),0)</f>
        <v>1532</v>
      </c>
      <c r="D66" s="6">
        <f>ROUND('0_设计说明'!$B$18*(1+'0_设计说明'!$B$19)^(A66-1),0)</f>
        <v>626</v>
      </c>
      <c r="E66" s="6">
        <f>ROUND(B66*'0_设计说明'!$B$20+C66*'0_设计说明'!$B$21+D66*'0_设计说明'!$B$22,0)</f>
        <v>14388</v>
      </c>
      <c r="F66" s="6">
        <f>IF(A66=1,0,ROUND('0_设计说明'!$B$23*(1+'0_设计说明'!$B$24)^(A66-2),0))</f>
        <v>3727</v>
      </c>
      <c r="G66" s="6">
        <f>SUM($F$4:F66)</f>
        <v>59846</v>
      </c>
      <c r="H66" s="1"/>
      <c r="I66" s="1"/>
      <c r="J66" s="1"/>
      <c r="K66" s="1"/>
    </row>
    <row r="67" spans="1:11" ht="15">
      <c r="A67" s="6">
        <v>64</v>
      </c>
      <c r="B67" s="6">
        <f>ROUND('0_设计说明'!$B$14*(1+'0_设计说明'!$B$15)^(A67-1),0)</f>
        <v>29168</v>
      </c>
      <c r="C67" s="6">
        <f>ROUND('0_设计说明'!$B$16*(1+'0_设计说明'!$B$17)^(A67-1),0)</f>
        <v>1601</v>
      </c>
      <c r="D67" s="6">
        <f>ROUND('0_设计说明'!$B$18*(1+'0_设计说明'!$B$19)^(A67-1),0)</f>
        <v>651</v>
      </c>
      <c r="E67" s="6">
        <f>ROUND(B67*'0_设计说明'!$B$20+C67*'0_设计说明'!$B$21+D67*'0_设计说明'!$B$22,0)</f>
        <v>15059</v>
      </c>
      <c r="F67" s="6">
        <f>IF(A67=1,0,ROUND('0_设计说明'!$B$23*(1+'0_设计说明'!$B$24)^(A67-2),0))</f>
        <v>3970</v>
      </c>
      <c r="G67" s="6">
        <f>SUM($F$4:F67)</f>
        <v>63816</v>
      </c>
      <c r="H67" s="1"/>
      <c r="I67" s="1"/>
      <c r="J67" s="1"/>
      <c r="K67" s="1"/>
    </row>
    <row r="68" spans="1:11" ht="15">
      <c r="A68" s="6">
        <v>65</v>
      </c>
      <c r="B68" s="6">
        <f>ROUND('0_设计说明'!$B$14*(1+'0_设计说明'!$B$15)^(A68-1),0)</f>
        <v>30772</v>
      </c>
      <c r="C68" s="6">
        <f>ROUND('0_设计说明'!$B$16*(1+'0_设计说明'!$B$17)^(A68-1),0)</f>
        <v>1673</v>
      </c>
      <c r="D68" s="6">
        <f>ROUND('0_设计说明'!$B$18*(1+'0_设计说明'!$B$19)^(A68-1),0)</f>
        <v>677</v>
      </c>
      <c r="E68" s="6">
        <f>ROUND(B68*'0_设计说明'!$B$20+C68*'0_设计说明'!$B$21+D68*'0_设计说明'!$B$22,0)</f>
        <v>15762</v>
      </c>
      <c r="F68" s="6">
        <f>IF(A68=1,0,ROUND('0_设计说明'!$B$23*(1+'0_设计说明'!$B$24)^(A68-2),0))</f>
        <v>4228</v>
      </c>
      <c r="G68" s="6">
        <f>SUM($F$4:F68)</f>
        <v>68044</v>
      </c>
      <c r="H68" s="1"/>
      <c r="I68" s="1"/>
      <c r="J68" s="1"/>
      <c r="K68" s="1"/>
    </row>
    <row r="69" spans="1:11" ht="15">
      <c r="A69" s="6">
        <v>66</v>
      </c>
      <c r="B69" s="6">
        <f>ROUND('0_设计说明'!$B$14*(1+'0_设计说明'!$B$15)^(A69-1),0)</f>
        <v>32465</v>
      </c>
      <c r="C69" s="6">
        <f>ROUND('0_设计说明'!$B$16*(1+'0_设计说明'!$B$17)^(A69-1),0)</f>
        <v>1748</v>
      </c>
      <c r="D69" s="6">
        <f>ROUND('0_设计说明'!$B$18*(1+'0_设计说明'!$B$19)^(A69-1),0)</f>
        <v>704</v>
      </c>
      <c r="E69" s="6">
        <f>ROUND(B69*'0_设计说明'!$B$20+C69*'0_设计说明'!$B$21+D69*'0_设计说明'!$B$22,0)</f>
        <v>16496</v>
      </c>
      <c r="F69" s="6">
        <f>IF(A69=1,0,ROUND('0_设计说明'!$B$23*(1+'0_设计说明'!$B$24)^(A69-2),0))</f>
        <v>4503</v>
      </c>
      <c r="G69" s="6">
        <f>SUM($F$4:F69)</f>
        <v>72547</v>
      </c>
      <c r="H69" s="1"/>
      <c r="I69" s="1"/>
      <c r="J69" s="1"/>
      <c r="K69" s="1"/>
    </row>
    <row r="70" spans="1:11" ht="15">
      <c r="A70" s="6">
        <v>67</v>
      </c>
      <c r="B70" s="6">
        <f>ROUND('0_设计说明'!$B$14*(1+'0_设计说明'!$B$15)^(A70-1),0)</f>
        <v>34250</v>
      </c>
      <c r="C70" s="6">
        <f>ROUND('0_设计说明'!$B$16*(1+'0_设计说明'!$B$17)^(A70-1),0)</f>
        <v>1827</v>
      </c>
      <c r="D70" s="6">
        <f>ROUND('0_设计说明'!$B$18*(1+'0_设计说明'!$B$19)^(A70-1),0)</f>
        <v>732</v>
      </c>
      <c r="E70" s="6">
        <f>ROUND(B70*'0_设计说明'!$B$20+C70*'0_设计说明'!$B$21+D70*'0_设计说明'!$B$22,0)</f>
        <v>17268</v>
      </c>
      <c r="F70" s="6">
        <f>IF(A70=1,0,ROUND('0_设计说明'!$B$23*(1+'0_设计说明'!$B$24)^(A70-2),0))</f>
        <v>4795</v>
      </c>
      <c r="G70" s="6">
        <f>SUM($F$4:F70)</f>
        <v>77342</v>
      </c>
      <c r="H70" s="1"/>
      <c r="I70" s="1"/>
      <c r="J70" s="1"/>
      <c r="K70" s="1"/>
    </row>
    <row r="71" spans="1:11" ht="15">
      <c r="A71" s="6">
        <v>68</v>
      </c>
      <c r="B71" s="6">
        <f>ROUND('0_设计说明'!$B$14*(1+'0_设计说明'!$B$15)^(A71-1),0)</f>
        <v>36134</v>
      </c>
      <c r="C71" s="6">
        <f>ROUND('0_设计说明'!$B$16*(1+'0_设计说明'!$B$17)^(A71-1),0)</f>
        <v>1909</v>
      </c>
      <c r="D71" s="6">
        <f>ROUND('0_设计说明'!$B$18*(1+'0_设计说明'!$B$19)^(A71-1),0)</f>
        <v>761</v>
      </c>
      <c r="E71" s="6">
        <f>ROUND(B71*'0_设计说明'!$B$20+C71*'0_设计说明'!$B$21+D71*'0_设计说明'!$B$22,0)</f>
        <v>18073</v>
      </c>
      <c r="F71" s="6">
        <f>IF(A71=1,0,ROUND('0_设计说明'!$B$23*(1+'0_设计说明'!$B$24)^(A71-2),0))</f>
        <v>5107</v>
      </c>
      <c r="G71" s="6">
        <f>SUM($F$4:F71)</f>
        <v>82449</v>
      </c>
      <c r="H71" s="1"/>
      <c r="I71" s="1"/>
      <c r="J71" s="1"/>
      <c r="K71" s="1"/>
    </row>
    <row r="72" spans="1:11" ht="15">
      <c r="A72" s="6">
        <v>69</v>
      </c>
      <c r="B72" s="6">
        <f>ROUND('0_设计说明'!$B$14*(1+'0_设计说明'!$B$15)^(A72-1),0)</f>
        <v>38121</v>
      </c>
      <c r="C72" s="6">
        <f>ROUND('0_设计说明'!$B$16*(1+'0_设计说明'!$B$17)^(A72-1),0)</f>
        <v>1995</v>
      </c>
      <c r="D72" s="6">
        <f>ROUND('0_设计说明'!$B$18*(1+'0_设计说明'!$B$19)^(A72-1),0)</f>
        <v>792</v>
      </c>
      <c r="E72" s="6">
        <f>ROUND(B72*'0_设计说明'!$B$20+C72*'0_设计说明'!$B$21+D72*'0_设计说明'!$B$22,0)</f>
        <v>18921</v>
      </c>
      <c r="F72" s="6">
        <f>IF(A72=1,0,ROUND('0_设计说明'!$B$23*(1+'0_设计说明'!$B$24)^(A72-2),0))</f>
        <v>5439</v>
      </c>
      <c r="G72" s="6">
        <f>SUM($F$4:F72)</f>
        <v>87888</v>
      </c>
      <c r="H72" s="1"/>
      <c r="I72" s="1"/>
      <c r="J72" s="1"/>
      <c r="K72" s="1"/>
    </row>
    <row r="73" spans="1:11" ht="15">
      <c r="A73" s="6">
        <v>70</v>
      </c>
      <c r="B73" s="6">
        <f>ROUND('0_设计说明'!$B$14*(1+'0_设计说明'!$B$15)^(A73-1),0)</f>
        <v>40218</v>
      </c>
      <c r="C73" s="6">
        <f>ROUND('0_设计说明'!$B$16*(1+'0_设计说明'!$B$17)^(A73-1),0)</f>
        <v>2085</v>
      </c>
      <c r="D73" s="6">
        <f>ROUND('0_设计说明'!$B$18*(1+'0_设计说明'!$B$19)^(A73-1),0)</f>
        <v>823</v>
      </c>
      <c r="E73" s="6">
        <f>ROUND(B73*'0_设计说明'!$B$20+C73*'0_设计说明'!$B$21+D73*'0_设计说明'!$B$22,0)</f>
        <v>19805</v>
      </c>
      <c r="F73" s="6">
        <f>IF(A73=1,0,ROUND('0_设计说明'!$B$23*(1+'0_设计说明'!$B$24)^(A73-2),0))</f>
        <v>5792</v>
      </c>
      <c r="G73" s="6">
        <f>SUM($F$4:F73)</f>
        <v>93680</v>
      </c>
      <c r="H73" s="1"/>
      <c r="I73" s="1"/>
      <c r="J73" s="1"/>
      <c r="K73" s="1"/>
    </row>
    <row r="74" spans="1:11" ht="15">
      <c r="A74" s="6">
        <v>71</v>
      </c>
      <c r="B74" s="6">
        <f>ROUND('0_设计说明'!$B$14*(1+'0_设计说明'!$B$15)^(A74-1),0)</f>
        <v>42430</v>
      </c>
      <c r="C74" s="6">
        <f>ROUND('0_设计说明'!$B$16*(1+'0_设计说明'!$B$17)^(A74-1),0)</f>
        <v>2178</v>
      </c>
      <c r="D74" s="6">
        <f>ROUND('0_设计说明'!$B$18*(1+'0_设计说明'!$B$19)^(A74-1),0)</f>
        <v>856</v>
      </c>
      <c r="E74" s="6">
        <f>ROUND(B74*'0_设计说明'!$B$20+C74*'0_设计说明'!$B$21+D74*'0_设计说明'!$B$22,0)</f>
        <v>20728</v>
      </c>
      <c r="F74" s="6">
        <f>IF(A74=1,0,ROUND('0_设计说明'!$B$23*(1+'0_设计说明'!$B$24)^(A74-2),0))</f>
        <v>6169</v>
      </c>
      <c r="G74" s="6">
        <f>SUM($F$4:F74)</f>
        <v>99849</v>
      </c>
      <c r="H74" s="1"/>
      <c r="I74" s="1"/>
      <c r="J74" s="1"/>
      <c r="K74" s="1"/>
    </row>
    <row r="75" spans="1:11" ht="15">
      <c r="A75" s="6">
        <v>72</v>
      </c>
      <c r="B75" s="6">
        <f>ROUND('0_设计说明'!$B$14*(1+'0_设计说明'!$B$15)^(A75-1),0)</f>
        <v>44764</v>
      </c>
      <c r="C75" s="6">
        <f>ROUND('0_设计说明'!$B$16*(1+'0_设计说明'!$B$17)^(A75-1),0)</f>
        <v>2276</v>
      </c>
      <c r="D75" s="6">
        <f>ROUND('0_设计说明'!$B$18*(1+'0_设计说明'!$B$19)^(A75-1),0)</f>
        <v>891</v>
      </c>
      <c r="E75" s="6">
        <f>ROUND(B75*'0_设计说明'!$B$20+C75*'0_设计说明'!$B$21+D75*'0_设计说明'!$B$22,0)</f>
        <v>21701</v>
      </c>
      <c r="F75" s="6">
        <f>IF(A75=1,0,ROUND('0_设计说明'!$B$23*(1+'0_设计说明'!$B$24)^(A75-2),0))</f>
        <v>6570</v>
      </c>
      <c r="G75" s="6">
        <f>SUM($F$4:F75)</f>
        <v>106419</v>
      </c>
      <c r="H75" s="1"/>
      <c r="I75" s="1"/>
      <c r="J75" s="1"/>
      <c r="K75" s="1"/>
    </row>
    <row r="76" spans="1:11" ht="15">
      <c r="A76" s="6">
        <v>73</v>
      </c>
      <c r="B76" s="6">
        <f>ROUND('0_设计说明'!$B$14*(1+'0_设计说明'!$B$15)^(A76-1),0)</f>
        <v>47226</v>
      </c>
      <c r="C76" s="6">
        <f>ROUND('0_设计说明'!$B$16*(1+'0_设计说明'!$B$17)^(A76-1),0)</f>
        <v>2379</v>
      </c>
      <c r="D76" s="6">
        <f>ROUND('0_设计说明'!$B$18*(1+'0_设计说明'!$B$19)^(A76-1),0)</f>
        <v>926</v>
      </c>
      <c r="E76" s="6">
        <f>ROUND(B76*'0_设计说明'!$B$20+C76*'0_设计说明'!$B$21+D76*'0_设计说明'!$B$22,0)</f>
        <v>22719</v>
      </c>
      <c r="F76" s="6">
        <f>IF(A76=1,0,ROUND('0_设计说明'!$B$23*(1+'0_设计说明'!$B$24)^(A76-2),0))</f>
        <v>6997</v>
      </c>
      <c r="G76" s="6">
        <f>SUM($F$4:F76)</f>
        <v>113416</v>
      </c>
      <c r="H76" s="1"/>
      <c r="I76" s="1"/>
      <c r="J76" s="1"/>
      <c r="K76" s="1"/>
    </row>
    <row r="77" spans="1:11" ht="15">
      <c r="A77" s="6">
        <v>74</v>
      </c>
      <c r="B77" s="6">
        <f>ROUND('0_设计说明'!$B$14*(1+'0_设计说明'!$B$15)^(A77-1),0)</f>
        <v>49823</v>
      </c>
      <c r="C77" s="6">
        <f>ROUND('0_设计说明'!$B$16*(1+'0_设计说明'!$B$17)^(A77-1),0)</f>
        <v>2486</v>
      </c>
      <c r="D77" s="6">
        <f>ROUND('0_设计说明'!$B$18*(1+'0_设计说明'!$B$19)^(A77-1),0)</f>
        <v>963</v>
      </c>
      <c r="E77" s="6">
        <f>ROUND(B77*'0_设计说明'!$B$20+C77*'0_设计说明'!$B$21+D77*'0_设计说明'!$B$22,0)</f>
        <v>23784</v>
      </c>
      <c r="F77" s="6">
        <f>IF(A77=1,0,ROUND('0_设计说明'!$B$23*(1+'0_设计说明'!$B$24)^(A77-2),0))</f>
        <v>7452</v>
      </c>
      <c r="G77" s="6">
        <f>SUM($F$4:F77)</f>
        <v>120868</v>
      </c>
      <c r="H77" s="1"/>
      <c r="I77" s="1"/>
      <c r="J77" s="1"/>
      <c r="K77" s="1"/>
    </row>
    <row r="78" spans="1:11" ht="15">
      <c r="A78" s="6">
        <v>75</v>
      </c>
      <c r="B78" s="6">
        <f>ROUND('0_设计说明'!$B$14*(1+'0_设计说明'!$B$15)^(A78-1),0)</f>
        <v>52563</v>
      </c>
      <c r="C78" s="6">
        <f>ROUND('0_设计说明'!$B$16*(1+'0_设计说明'!$B$17)^(A78-1),0)</f>
        <v>2598</v>
      </c>
      <c r="D78" s="6">
        <f>ROUND('0_设计说明'!$B$18*(1+'0_设计说明'!$B$19)^(A78-1),0)</f>
        <v>1002</v>
      </c>
      <c r="E78" s="6">
        <f>ROUND(B78*'0_设计说明'!$B$20+C78*'0_设计说明'!$B$21+D78*'0_设计说明'!$B$22,0)</f>
        <v>24902</v>
      </c>
      <c r="F78" s="6">
        <f>IF(A78=1,0,ROUND('0_设计说明'!$B$23*(1+'0_设计说明'!$B$24)^(A78-2),0))</f>
        <v>7936</v>
      </c>
      <c r="G78" s="6">
        <f>SUM($F$4:F78)</f>
        <v>128804</v>
      </c>
      <c r="H78" s="1"/>
      <c r="I78" s="1"/>
      <c r="J78" s="1"/>
      <c r="K78" s="1"/>
    </row>
    <row r="79" spans="1:11" ht="15">
      <c r="A79" s="6">
        <v>76</v>
      </c>
      <c r="B79" s="6">
        <f>ROUND('0_设计说明'!$B$14*(1+'0_设计说明'!$B$15)^(A79-1),0)</f>
        <v>55454</v>
      </c>
      <c r="C79" s="6">
        <f>ROUND('0_设计说明'!$B$16*(1+'0_设计说明'!$B$17)^(A79-1),0)</f>
        <v>2715</v>
      </c>
      <c r="D79" s="6">
        <f>ROUND('0_设计说明'!$B$18*(1+'0_设计说明'!$B$19)^(A79-1),0)</f>
        <v>1042</v>
      </c>
      <c r="E79" s="6">
        <f>ROUND(B79*'0_设计说明'!$B$20+C79*'0_设计说明'!$B$21+D79*'0_设计说明'!$B$22,0)</f>
        <v>26070</v>
      </c>
      <c r="F79" s="6">
        <f>IF(A79=1,0,ROUND('0_设计说明'!$B$23*(1+'0_设计说明'!$B$24)^(A79-2),0))</f>
        <v>8452</v>
      </c>
      <c r="G79" s="6">
        <f>SUM($F$4:F79)</f>
        <v>137256</v>
      </c>
      <c r="H79" s="1"/>
      <c r="I79" s="1"/>
      <c r="J79" s="1"/>
      <c r="K79" s="1"/>
    </row>
    <row r="80" spans="1:11" ht="15">
      <c r="A80" s="6">
        <v>77</v>
      </c>
      <c r="B80" s="6">
        <f>ROUND('0_设计说明'!$B$14*(1+'0_设计说明'!$B$15)^(A80-1),0)</f>
        <v>58504</v>
      </c>
      <c r="C80" s="6">
        <f>ROUND('0_设计说明'!$B$16*(1+'0_设计说明'!$B$17)^(A80-1),0)</f>
        <v>2837</v>
      </c>
      <c r="D80" s="6">
        <f>ROUND('0_设计说明'!$B$18*(1+'0_设计说明'!$B$19)^(A80-1),0)</f>
        <v>1084</v>
      </c>
      <c r="E80" s="6">
        <f>ROUND(B80*'0_设计说明'!$B$20+C80*'0_设计说明'!$B$21+D80*'0_设计说明'!$B$22,0)</f>
        <v>27294</v>
      </c>
      <c r="F80" s="6">
        <f>IF(A80=1,0,ROUND('0_设计说明'!$B$23*(1+'0_设计说明'!$B$24)^(A80-2),0))</f>
        <v>9001</v>
      </c>
      <c r="G80" s="6">
        <f>SUM($F$4:F80)</f>
        <v>146257</v>
      </c>
      <c r="H80" s="1"/>
      <c r="I80" s="1"/>
      <c r="J80" s="1"/>
      <c r="K80" s="1"/>
    </row>
    <row r="81" spans="1:11" ht="15">
      <c r="A81" s="6">
        <v>78</v>
      </c>
      <c r="B81" s="6">
        <f>ROUND('0_设计说明'!$B$14*(1+'0_设计说明'!$B$15)^(A81-1),0)</f>
        <v>61722</v>
      </c>
      <c r="C81" s="6">
        <f>ROUND('0_设计说明'!$B$16*(1+'0_设计说明'!$B$17)^(A81-1),0)</f>
        <v>2965</v>
      </c>
      <c r="D81" s="6">
        <f>ROUND('0_设计说明'!$B$18*(1+'0_设计说明'!$B$19)^(A81-1),0)</f>
        <v>1127</v>
      </c>
      <c r="E81" s="6">
        <f>ROUND(B81*'0_设计说明'!$B$20+C81*'0_设计说明'!$B$21+D81*'0_设计说明'!$B$22,0)</f>
        <v>28578</v>
      </c>
      <c r="F81" s="6">
        <f>IF(A81=1,0,ROUND('0_设计说明'!$B$23*(1+'0_设计说明'!$B$24)^(A81-2),0))</f>
        <v>9587</v>
      </c>
      <c r="G81" s="6">
        <f>SUM($F$4:F81)</f>
        <v>155844</v>
      </c>
      <c r="H81" s="1"/>
      <c r="I81" s="1"/>
      <c r="J81" s="1"/>
      <c r="K81" s="1"/>
    </row>
    <row r="82" spans="1:11" ht="15">
      <c r="A82" s="6">
        <v>79</v>
      </c>
      <c r="B82" s="6">
        <f>ROUND('0_设计说明'!$B$14*(1+'0_设计说明'!$B$15)^(A82-1),0)</f>
        <v>65117</v>
      </c>
      <c r="C82" s="6">
        <f>ROUND('0_设计说明'!$B$16*(1+'0_设计说明'!$B$17)^(A82-1),0)</f>
        <v>3098</v>
      </c>
      <c r="D82" s="6">
        <f>ROUND('0_设计说明'!$B$18*(1+'0_设计说明'!$B$19)^(A82-1),0)</f>
        <v>1172</v>
      </c>
      <c r="E82" s="6">
        <f>ROUND(B82*'0_设计说明'!$B$20+C82*'0_设计说明'!$B$21+D82*'0_设计说明'!$B$22,0)</f>
        <v>29918</v>
      </c>
      <c r="F82" s="6">
        <f>IF(A82=1,0,ROUND('0_设计说明'!$B$23*(1+'0_设计说明'!$B$24)^(A82-2),0))</f>
        <v>10210</v>
      </c>
      <c r="G82" s="6">
        <f>SUM($F$4:F82)</f>
        <v>166054</v>
      </c>
      <c r="H82" s="1"/>
      <c r="I82" s="1"/>
      <c r="J82" s="1"/>
      <c r="K82" s="1"/>
    </row>
    <row r="83" spans="1:11" ht="15">
      <c r="A83" s="6">
        <v>80</v>
      </c>
      <c r="B83" s="6">
        <f>ROUND('0_设计说明'!$B$14*(1+'0_设计说明'!$B$15)^(A83-1),0)</f>
        <v>68698</v>
      </c>
      <c r="C83" s="6">
        <f>ROUND('0_设计说明'!$B$16*(1+'0_设计说明'!$B$17)^(A83-1),0)</f>
        <v>3237</v>
      </c>
      <c r="D83" s="6">
        <f>ROUND('0_设计说明'!$B$18*(1+'0_设计说明'!$B$19)^(A83-1),0)</f>
        <v>1219</v>
      </c>
      <c r="E83" s="6">
        <f>ROUND(B83*'0_设计说明'!$B$20+C83*'0_设计说明'!$B$21+D83*'0_设计说明'!$B$22,0)</f>
        <v>31323</v>
      </c>
      <c r="F83" s="6">
        <f>IF(A83=1,0,ROUND('0_设计说明'!$B$23*(1+'0_设计说明'!$B$24)^(A83-2),0))</f>
        <v>10873</v>
      </c>
      <c r="G83" s="6">
        <f>SUM($F$4:F83)</f>
        <v>176927</v>
      </c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G1"/>
  </mergeCells>
  <phoneticPr fontId="4" type="noConversion"/>
  <conditionalFormatting sqref="E4:E83">
    <cfRule type="dataBar" priority="1">
      <dataBar>
        <cfvo type="min"/>
        <cfvo type="max"/>
        <color rgb="FF4F81BD"/>
      </dataBar>
    </cfRule>
    <cfRule type="dataBar" priority="3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{E5AA7C13-DC0B-5EEA-5E25-E4C090CAE861}</x14:id>
        </ext>
      </extLst>
    </cfRule>
  </conditionalFormatting>
  <conditionalFormatting sqref="F4:F83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AA7C13-DC0B-5EEA-5E25-E4C090CAE861}">
            <x14:dataBar>
              <x14:cfvo type="min"/>
              <x14:cfvo type="max"/>
              <x14:negativeFillColor auto="1"/>
              <x14:axisColor auto="1"/>
            </x14:dataBar>
          </x14:cfRule>
          <xm:sqref>E4:E83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topLeftCell="A46" workbookViewId="0">
      <selection sqref="A1:E1"/>
    </sheetView>
  </sheetViews>
  <sheetFormatPr defaultRowHeight="13.8"/>
  <cols>
    <col min="1" max="4" width="14" customWidth="1"/>
    <col min="5" max="5" width="36" customWidth="1"/>
    <col min="6" max="11" width="14" customWidth="1"/>
  </cols>
  <sheetData>
    <row r="1" spans="1:11" ht="15.6">
      <c r="A1" s="9" t="s">
        <v>50</v>
      </c>
      <c r="B1" s="9"/>
      <c r="C1" s="9"/>
      <c r="D1" s="9"/>
      <c r="E1" s="9"/>
      <c r="F1" s="1"/>
      <c r="G1" s="1"/>
      <c r="H1" s="1"/>
      <c r="I1" s="1"/>
      <c r="J1" s="1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1.2">
      <c r="A3" s="2" t="s">
        <v>43</v>
      </c>
      <c r="B3" s="2" t="s">
        <v>48</v>
      </c>
      <c r="C3" s="2" t="s">
        <v>49</v>
      </c>
      <c r="D3" s="2" t="s">
        <v>51</v>
      </c>
      <c r="E3" s="2" t="s">
        <v>52</v>
      </c>
      <c r="F3" s="1"/>
      <c r="G3" s="1"/>
      <c r="H3" s="1"/>
      <c r="I3" s="1"/>
      <c r="J3" s="1"/>
      <c r="K3" s="1"/>
    </row>
    <row r="4" spans="1:11" ht="15">
      <c r="A4" s="1">
        <f>'1_角色属性成长'!A4</f>
        <v>1</v>
      </c>
      <c r="B4" s="1">
        <f>'1_角色属性成长'!F4</f>
        <v>0</v>
      </c>
      <c r="C4" s="1">
        <f>'1_角色属性成长'!G4</f>
        <v>0</v>
      </c>
      <c r="D4" s="5">
        <f>0</f>
        <v>0</v>
      </c>
      <c r="E4" s="7" t="s">
        <v>53</v>
      </c>
      <c r="F4" s="1"/>
      <c r="G4" s="1"/>
      <c r="H4" s="1"/>
      <c r="I4" s="1"/>
      <c r="J4" s="1"/>
      <c r="K4" s="1"/>
    </row>
    <row r="5" spans="1:11" ht="15">
      <c r="A5" s="1">
        <f>'1_角色属性成长'!A5</f>
        <v>2</v>
      </c>
      <c r="B5" s="1">
        <f>'1_角色属性成长'!F5</f>
        <v>80</v>
      </c>
      <c r="C5" s="1">
        <f>'1_角色属性成长'!G5</f>
        <v>80</v>
      </c>
      <c r="D5" s="5">
        <f t="shared" ref="D5:D36" si="0">IF(B4=0,0,(B5-B4)/B4)</f>
        <v>0</v>
      </c>
      <c r="E5" s="7" t="s">
        <v>53</v>
      </c>
      <c r="F5" s="1"/>
      <c r="G5" s="1"/>
      <c r="H5" s="1"/>
      <c r="I5" s="1"/>
      <c r="J5" s="1"/>
      <c r="K5" s="1"/>
    </row>
    <row r="6" spans="1:11" ht="15">
      <c r="A6" s="1">
        <f>'1_角色属性成长'!A6</f>
        <v>3</v>
      </c>
      <c r="B6" s="1">
        <f>'1_角色属性成长'!F6</f>
        <v>85</v>
      </c>
      <c r="C6" s="1">
        <f>'1_角色属性成长'!G6</f>
        <v>165</v>
      </c>
      <c r="D6" s="5">
        <f t="shared" si="0"/>
        <v>6.25E-2</v>
      </c>
      <c r="E6" s="7" t="s">
        <v>53</v>
      </c>
      <c r="F6" s="1"/>
      <c r="G6" s="1"/>
      <c r="H6" s="1"/>
      <c r="I6" s="1"/>
      <c r="J6" s="1"/>
      <c r="K6" s="1"/>
    </row>
    <row r="7" spans="1:11" ht="15">
      <c r="A7" s="1">
        <f>'1_角色属性成长'!A7</f>
        <v>4</v>
      </c>
      <c r="B7" s="1">
        <f>'1_角色属性成长'!F7</f>
        <v>91</v>
      </c>
      <c r="C7" s="1">
        <f>'1_角色属性成长'!G7</f>
        <v>256</v>
      </c>
      <c r="D7" s="5">
        <f t="shared" si="0"/>
        <v>7.0588235294117646E-2</v>
      </c>
      <c r="E7" s="7" t="s">
        <v>53</v>
      </c>
      <c r="F7" s="1"/>
      <c r="G7" s="1"/>
      <c r="H7" s="1"/>
      <c r="I7" s="1"/>
      <c r="J7" s="1"/>
      <c r="K7" s="1"/>
    </row>
    <row r="8" spans="1:11" ht="15">
      <c r="A8" s="1">
        <f>'1_角色属性成长'!A8</f>
        <v>5</v>
      </c>
      <c r="B8" s="1">
        <f>'1_角色属性成长'!F8</f>
        <v>97</v>
      </c>
      <c r="C8" s="1">
        <f>'1_角色属性成长'!G8</f>
        <v>353</v>
      </c>
      <c r="D8" s="5">
        <f t="shared" si="0"/>
        <v>6.5934065934065936E-2</v>
      </c>
      <c r="E8" s="7" t="s">
        <v>53</v>
      </c>
      <c r="F8" s="1"/>
      <c r="G8" s="1"/>
      <c r="H8" s="1"/>
      <c r="I8" s="1"/>
      <c r="J8" s="1"/>
      <c r="K8" s="1"/>
    </row>
    <row r="9" spans="1:11" ht="15">
      <c r="A9" s="1">
        <f>'1_角色属性成长'!A9</f>
        <v>6</v>
      </c>
      <c r="B9" s="1">
        <f>'1_角色属性成长'!F9</f>
        <v>103</v>
      </c>
      <c r="C9" s="1">
        <f>'1_角色属性成长'!G9</f>
        <v>456</v>
      </c>
      <c r="D9" s="5">
        <f t="shared" si="0"/>
        <v>6.1855670103092786E-2</v>
      </c>
      <c r="E9" s="7" t="s">
        <v>53</v>
      </c>
      <c r="F9" s="1"/>
      <c r="G9" s="1"/>
      <c r="H9" s="1"/>
      <c r="I9" s="1"/>
      <c r="J9" s="1"/>
      <c r="K9" s="1"/>
    </row>
    <row r="10" spans="1:11" ht="15">
      <c r="A10" s="1">
        <f>'1_角色属性成长'!A10</f>
        <v>7</v>
      </c>
      <c r="B10" s="1">
        <f>'1_角色属性成长'!F10</f>
        <v>110</v>
      </c>
      <c r="C10" s="1">
        <f>'1_角色属性成长'!G10</f>
        <v>566</v>
      </c>
      <c r="D10" s="5">
        <f t="shared" si="0"/>
        <v>6.7961165048543687E-2</v>
      </c>
      <c r="E10" s="7" t="s">
        <v>53</v>
      </c>
      <c r="F10" s="1"/>
      <c r="G10" s="1"/>
      <c r="H10" s="1"/>
      <c r="I10" s="1"/>
      <c r="J10" s="1"/>
      <c r="K10" s="1"/>
    </row>
    <row r="11" spans="1:11" ht="15">
      <c r="A11" s="1">
        <f>'1_角色属性成长'!A11</f>
        <v>8</v>
      </c>
      <c r="B11" s="1">
        <f>'1_角色属性成长'!F11</f>
        <v>117</v>
      </c>
      <c r="C11" s="1">
        <f>'1_角色属性成长'!G11</f>
        <v>683</v>
      </c>
      <c r="D11" s="5">
        <f t="shared" si="0"/>
        <v>6.363636363636363E-2</v>
      </c>
      <c r="E11" s="7" t="s">
        <v>53</v>
      </c>
      <c r="F11" s="1"/>
      <c r="G11" s="1"/>
      <c r="H11" s="1"/>
      <c r="I11" s="1"/>
      <c r="J11" s="1"/>
      <c r="K11" s="1"/>
    </row>
    <row r="12" spans="1:11" ht="15">
      <c r="A12" s="1">
        <f>'1_角色属性成长'!A12</f>
        <v>9</v>
      </c>
      <c r="B12" s="1">
        <f>'1_角色属性成长'!F12</f>
        <v>124</v>
      </c>
      <c r="C12" s="1">
        <f>'1_角色属性成长'!G12</f>
        <v>807</v>
      </c>
      <c r="D12" s="5">
        <f t="shared" si="0"/>
        <v>5.9829059829059832E-2</v>
      </c>
      <c r="E12" s="7" t="s">
        <v>53</v>
      </c>
      <c r="F12" s="1"/>
      <c r="G12" s="1"/>
      <c r="H12" s="1"/>
      <c r="I12" s="1"/>
      <c r="J12" s="1"/>
      <c r="K12" s="1"/>
    </row>
    <row r="13" spans="1:11" ht="15">
      <c r="A13" s="1">
        <f>'1_角色属性成长'!A13</f>
        <v>10</v>
      </c>
      <c r="B13" s="1">
        <f>'1_角色属性成长'!F13</f>
        <v>132</v>
      </c>
      <c r="C13" s="1">
        <f>'1_角色属性成长'!G13</f>
        <v>939</v>
      </c>
      <c r="D13" s="5">
        <f t="shared" si="0"/>
        <v>6.4516129032258063E-2</v>
      </c>
      <c r="E13" s="7" t="s">
        <v>53</v>
      </c>
      <c r="F13" s="1"/>
      <c r="G13" s="1"/>
      <c r="H13" s="1"/>
      <c r="I13" s="1"/>
      <c r="J13" s="1"/>
      <c r="K13" s="1"/>
    </row>
    <row r="14" spans="1:11" ht="15">
      <c r="A14" s="1">
        <f>'1_角色属性成长'!A14</f>
        <v>11</v>
      </c>
      <c r="B14" s="1">
        <f>'1_角色属性成长'!F14</f>
        <v>141</v>
      </c>
      <c r="C14" s="1">
        <f>'1_角色属性成长'!G14</f>
        <v>1080</v>
      </c>
      <c r="D14" s="5">
        <f t="shared" si="0"/>
        <v>6.8181818181818177E-2</v>
      </c>
      <c r="E14" s="7" t="s">
        <v>53</v>
      </c>
      <c r="F14" s="1"/>
      <c r="G14" s="1"/>
      <c r="H14" s="1"/>
      <c r="I14" s="1"/>
      <c r="J14" s="1"/>
      <c r="K14" s="1"/>
    </row>
    <row r="15" spans="1:11" ht="15">
      <c r="A15" s="1">
        <f>'1_角色属性成长'!A15</f>
        <v>12</v>
      </c>
      <c r="B15" s="1">
        <f>'1_角色属性成长'!F15</f>
        <v>150</v>
      </c>
      <c r="C15" s="1">
        <f>'1_角色属性成长'!G15</f>
        <v>1230</v>
      </c>
      <c r="D15" s="5">
        <f t="shared" si="0"/>
        <v>6.3829787234042548E-2</v>
      </c>
      <c r="E15" s="7" t="s">
        <v>53</v>
      </c>
      <c r="F15" s="1"/>
      <c r="G15" s="1"/>
      <c r="H15" s="1"/>
      <c r="I15" s="1"/>
      <c r="J15" s="1"/>
      <c r="K15" s="1"/>
    </row>
    <row r="16" spans="1:11" ht="15">
      <c r="A16" s="1">
        <f>'1_角色属性成长'!A16</f>
        <v>13</v>
      </c>
      <c r="B16" s="1">
        <f>'1_角色属性成长'!F16</f>
        <v>160</v>
      </c>
      <c r="C16" s="1">
        <f>'1_角色属性成长'!G16</f>
        <v>1390</v>
      </c>
      <c r="D16" s="5">
        <f t="shared" si="0"/>
        <v>6.6666666666666666E-2</v>
      </c>
      <c r="E16" s="7" t="s">
        <v>53</v>
      </c>
      <c r="F16" s="1"/>
      <c r="G16" s="1"/>
      <c r="H16" s="1"/>
      <c r="I16" s="1"/>
      <c r="J16" s="1"/>
      <c r="K16" s="1"/>
    </row>
    <row r="17" spans="1:11" ht="15">
      <c r="A17" s="1">
        <f>'1_角色属性成长'!A17</f>
        <v>14</v>
      </c>
      <c r="B17" s="1">
        <f>'1_角色属性成长'!F17</f>
        <v>170</v>
      </c>
      <c r="C17" s="1">
        <f>'1_角色属性成长'!G17</f>
        <v>1560</v>
      </c>
      <c r="D17" s="5">
        <f t="shared" si="0"/>
        <v>6.25E-2</v>
      </c>
      <c r="E17" s="7" t="s">
        <v>53</v>
      </c>
      <c r="F17" s="1"/>
      <c r="G17" s="1"/>
      <c r="H17" s="1"/>
      <c r="I17" s="1"/>
      <c r="J17" s="1"/>
      <c r="K17" s="1"/>
    </row>
    <row r="18" spans="1:11" ht="15">
      <c r="A18" s="1">
        <f>'1_角色属性成长'!A18</f>
        <v>15</v>
      </c>
      <c r="B18" s="1">
        <f>'1_角色属性成长'!F18</f>
        <v>181</v>
      </c>
      <c r="C18" s="1">
        <f>'1_角色属性成长'!G18</f>
        <v>1741</v>
      </c>
      <c r="D18" s="5">
        <f t="shared" si="0"/>
        <v>6.4705882352941183E-2</v>
      </c>
      <c r="E18" s="7" t="s">
        <v>53</v>
      </c>
      <c r="F18" s="1"/>
      <c r="G18" s="1"/>
      <c r="H18" s="1"/>
      <c r="I18" s="1"/>
      <c r="J18" s="1"/>
      <c r="K18" s="1"/>
    </row>
    <row r="19" spans="1:11" ht="15">
      <c r="A19" s="1">
        <f>'1_角色属性成长'!A19</f>
        <v>16</v>
      </c>
      <c r="B19" s="1">
        <f>'1_角色属性成长'!F19</f>
        <v>193</v>
      </c>
      <c r="C19" s="1">
        <f>'1_角色属性成长'!G19</f>
        <v>1934</v>
      </c>
      <c r="D19" s="5">
        <f t="shared" si="0"/>
        <v>6.6298342541436461E-2</v>
      </c>
      <c r="E19" s="7" t="s">
        <v>53</v>
      </c>
      <c r="F19" s="1"/>
      <c r="G19" s="1"/>
      <c r="H19" s="1"/>
      <c r="I19" s="1"/>
      <c r="J19" s="1"/>
      <c r="K19" s="1"/>
    </row>
    <row r="20" spans="1:11" ht="15">
      <c r="A20" s="1">
        <f>'1_角色属性成长'!A20</f>
        <v>17</v>
      </c>
      <c r="B20" s="1">
        <f>'1_角色属性成长'!F20</f>
        <v>206</v>
      </c>
      <c r="C20" s="1">
        <f>'1_角色属性成长'!G20</f>
        <v>2140</v>
      </c>
      <c r="D20" s="5">
        <f t="shared" si="0"/>
        <v>6.7357512953367879E-2</v>
      </c>
      <c r="E20" s="7" t="s">
        <v>53</v>
      </c>
      <c r="F20" s="1"/>
      <c r="G20" s="1"/>
      <c r="H20" s="1"/>
      <c r="I20" s="1"/>
      <c r="J20" s="1"/>
      <c r="K20" s="1"/>
    </row>
    <row r="21" spans="1:11" ht="15">
      <c r="A21" s="1">
        <f>'1_角色属性成长'!A21</f>
        <v>18</v>
      </c>
      <c r="B21" s="1">
        <f>'1_角色属性成长'!F21</f>
        <v>219</v>
      </c>
      <c r="C21" s="1">
        <f>'1_角色属性成长'!G21</f>
        <v>2359</v>
      </c>
      <c r="D21" s="5">
        <f t="shared" si="0"/>
        <v>6.3106796116504854E-2</v>
      </c>
      <c r="E21" s="7" t="s">
        <v>53</v>
      </c>
      <c r="F21" s="1"/>
      <c r="G21" s="1"/>
      <c r="H21" s="1"/>
      <c r="I21" s="1"/>
      <c r="J21" s="1"/>
      <c r="K21" s="1"/>
    </row>
    <row r="22" spans="1:11" ht="15">
      <c r="A22" s="1">
        <f>'1_角色属性成长'!A22</f>
        <v>19</v>
      </c>
      <c r="B22" s="1">
        <f>'1_角色属性成长'!F22</f>
        <v>233</v>
      </c>
      <c r="C22" s="1">
        <f>'1_角色属性成长'!G22</f>
        <v>2592</v>
      </c>
      <c r="D22" s="5">
        <f t="shared" si="0"/>
        <v>6.3926940639269403E-2</v>
      </c>
      <c r="E22" s="7" t="s">
        <v>53</v>
      </c>
      <c r="F22" s="1"/>
      <c r="G22" s="1"/>
      <c r="H22" s="1"/>
      <c r="I22" s="1"/>
      <c r="J22" s="1"/>
      <c r="K22" s="1"/>
    </row>
    <row r="23" spans="1:11" ht="15">
      <c r="A23" s="1">
        <f>'1_角色属性成长'!A23</f>
        <v>20</v>
      </c>
      <c r="B23" s="1">
        <f>'1_角色属性成长'!F23</f>
        <v>249</v>
      </c>
      <c r="C23" s="1">
        <f>'1_角色属性成长'!G23</f>
        <v>2841</v>
      </c>
      <c r="D23" s="5">
        <f t="shared" si="0"/>
        <v>6.8669527896995708E-2</v>
      </c>
      <c r="E23" s="7" t="s">
        <v>53</v>
      </c>
      <c r="F23" s="1"/>
      <c r="G23" s="1"/>
      <c r="H23" s="1"/>
      <c r="I23" s="1"/>
      <c r="J23" s="1"/>
      <c r="K23" s="1"/>
    </row>
    <row r="24" spans="1:11" ht="15">
      <c r="A24" s="1">
        <f>'1_角色属性成长'!A24</f>
        <v>21</v>
      </c>
      <c r="B24" s="1">
        <f>'1_角色属性成长'!F24</f>
        <v>265</v>
      </c>
      <c r="C24" s="1">
        <f>'1_角色属性成长'!G24</f>
        <v>3106</v>
      </c>
      <c r="D24" s="5">
        <f t="shared" si="0"/>
        <v>6.4257028112449793E-2</v>
      </c>
      <c r="E24" s="7" t="s">
        <v>54</v>
      </c>
      <c r="F24" s="1"/>
      <c r="G24" s="1"/>
      <c r="H24" s="1"/>
      <c r="I24" s="1"/>
      <c r="J24" s="1"/>
      <c r="K24" s="1"/>
    </row>
    <row r="25" spans="1:11" ht="15">
      <c r="A25" s="1">
        <f>'1_角色属性成长'!A25</f>
        <v>22</v>
      </c>
      <c r="B25" s="1">
        <f>'1_角色属性成长'!F25</f>
        <v>282</v>
      </c>
      <c r="C25" s="1">
        <f>'1_角色属性成长'!G25</f>
        <v>3388</v>
      </c>
      <c r="D25" s="5">
        <f t="shared" si="0"/>
        <v>6.4150943396226415E-2</v>
      </c>
      <c r="E25" s="7" t="s">
        <v>54</v>
      </c>
      <c r="F25" s="1"/>
      <c r="G25" s="1"/>
      <c r="H25" s="1"/>
      <c r="I25" s="1"/>
      <c r="J25" s="1"/>
      <c r="K25" s="1"/>
    </row>
    <row r="26" spans="1:11" ht="15">
      <c r="A26" s="1">
        <f>'1_角色属性成长'!A26</f>
        <v>23</v>
      </c>
      <c r="B26" s="1">
        <f>'1_角色属性成长'!F26</f>
        <v>300</v>
      </c>
      <c r="C26" s="1">
        <f>'1_角色属性成长'!G26</f>
        <v>3688</v>
      </c>
      <c r="D26" s="5">
        <f t="shared" si="0"/>
        <v>6.3829787234042548E-2</v>
      </c>
      <c r="E26" s="7" t="s">
        <v>54</v>
      </c>
      <c r="F26" s="1"/>
      <c r="G26" s="1"/>
      <c r="H26" s="1"/>
      <c r="I26" s="1"/>
      <c r="J26" s="1"/>
      <c r="K26" s="1"/>
    </row>
    <row r="27" spans="1:11" ht="15">
      <c r="A27" s="1">
        <f>'1_角色属性成长'!A27</f>
        <v>24</v>
      </c>
      <c r="B27" s="1">
        <f>'1_角色属性成长'!F27</f>
        <v>320</v>
      </c>
      <c r="C27" s="1">
        <f>'1_角色属性成长'!G27</f>
        <v>4008</v>
      </c>
      <c r="D27" s="5">
        <f t="shared" si="0"/>
        <v>6.6666666666666666E-2</v>
      </c>
      <c r="E27" s="7" t="s">
        <v>54</v>
      </c>
      <c r="F27" s="1"/>
      <c r="G27" s="1"/>
      <c r="H27" s="1"/>
      <c r="I27" s="1"/>
      <c r="J27" s="1"/>
      <c r="K27" s="1"/>
    </row>
    <row r="28" spans="1:11" ht="15">
      <c r="A28" s="1">
        <f>'1_角色属性成长'!A28</f>
        <v>25</v>
      </c>
      <c r="B28" s="1">
        <f>'1_角色属性成长'!F28</f>
        <v>341</v>
      </c>
      <c r="C28" s="1">
        <f>'1_角色属性成长'!G28</f>
        <v>4349</v>
      </c>
      <c r="D28" s="5">
        <f t="shared" si="0"/>
        <v>6.5625000000000003E-2</v>
      </c>
      <c r="E28" s="7" t="s">
        <v>54</v>
      </c>
      <c r="F28" s="1"/>
      <c r="G28" s="1"/>
      <c r="H28" s="1"/>
      <c r="I28" s="1"/>
      <c r="J28" s="1"/>
      <c r="K28" s="1"/>
    </row>
    <row r="29" spans="1:11" ht="15">
      <c r="A29" s="1">
        <f>'1_角色属性成长'!A29</f>
        <v>26</v>
      </c>
      <c r="B29" s="1">
        <f>'1_角色属性成长'!F29</f>
        <v>363</v>
      </c>
      <c r="C29" s="1">
        <f>'1_角色属性成长'!G29</f>
        <v>4712</v>
      </c>
      <c r="D29" s="5">
        <f t="shared" si="0"/>
        <v>6.4516129032258063E-2</v>
      </c>
      <c r="E29" s="7" t="s">
        <v>54</v>
      </c>
      <c r="F29" s="1"/>
      <c r="G29" s="1"/>
      <c r="H29" s="1"/>
      <c r="I29" s="1"/>
      <c r="J29" s="1"/>
      <c r="K29" s="1"/>
    </row>
    <row r="30" spans="1:11" ht="15">
      <c r="A30" s="1">
        <f>'1_角色属性成长'!A30</f>
        <v>27</v>
      </c>
      <c r="B30" s="1">
        <f>'1_角色属性成长'!F30</f>
        <v>386</v>
      </c>
      <c r="C30" s="1">
        <f>'1_角色属性成长'!G30</f>
        <v>5098</v>
      </c>
      <c r="D30" s="5">
        <f t="shared" si="0"/>
        <v>6.3360881542699726E-2</v>
      </c>
      <c r="E30" s="7" t="s">
        <v>54</v>
      </c>
      <c r="F30" s="1"/>
      <c r="G30" s="1"/>
      <c r="H30" s="1"/>
      <c r="I30" s="1"/>
      <c r="J30" s="1"/>
      <c r="K30" s="1"/>
    </row>
    <row r="31" spans="1:11" ht="15">
      <c r="A31" s="1">
        <f>'1_角色属性成长'!A31</f>
        <v>28</v>
      </c>
      <c r="B31" s="1">
        <f>'1_角色属性成长'!F31</f>
        <v>411</v>
      </c>
      <c r="C31" s="1">
        <f>'1_角色属性成长'!G31</f>
        <v>5509</v>
      </c>
      <c r="D31" s="5">
        <f t="shared" si="0"/>
        <v>6.4766839378238336E-2</v>
      </c>
      <c r="E31" s="7" t="s">
        <v>54</v>
      </c>
      <c r="F31" s="1"/>
      <c r="G31" s="1"/>
      <c r="H31" s="1"/>
      <c r="I31" s="1"/>
      <c r="J31" s="1"/>
      <c r="K31" s="1"/>
    </row>
    <row r="32" spans="1:11" ht="15">
      <c r="A32" s="1">
        <f>'1_角色属性成长'!A32</f>
        <v>29</v>
      </c>
      <c r="B32" s="1">
        <f>'1_角色属性成长'!F32</f>
        <v>438</v>
      </c>
      <c r="C32" s="1">
        <f>'1_角色属性成长'!G32</f>
        <v>5947</v>
      </c>
      <c r="D32" s="5">
        <f t="shared" si="0"/>
        <v>6.569343065693431E-2</v>
      </c>
      <c r="E32" s="7" t="s">
        <v>54</v>
      </c>
      <c r="F32" s="1"/>
      <c r="G32" s="1"/>
      <c r="H32" s="1"/>
      <c r="I32" s="1"/>
      <c r="J32" s="1"/>
      <c r="K32" s="1"/>
    </row>
    <row r="33" spans="1:11" ht="15">
      <c r="A33" s="1">
        <f>'1_角色属性成长'!A33</f>
        <v>30</v>
      </c>
      <c r="B33" s="1">
        <f>'1_角色属性成长'!F33</f>
        <v>467</v>
      </c>
      <c r="C33" s="1">
        <f>'1_角色属性成长'!G33</f>
        <v>6414</v>
      </c>
      <c r="D33" s="5">
        <f t="shared" si="0"/>
        <v>6.6210045662100453E-2</v>
      </c>
      <c r="E33" s="7" t="s">
        <v>54</v>
      </c>
      <c r="F33" s="1"/>
      <c r="G33" s="1"/>
      <c r="H33" s="1"/>
      <c r="I33" s="1"/>
      <c r="J33" s="1"/>
      <c r="K33" s="1"/>
    </row>
    <row r="34" spans="1:11" ht="15">
      <c r="A34" s="1">
        <f>'1_角色属性成长'!A34</f>
        <v>31</v>
      </c>
      <c r="B34" s="1">
        <f>'1_角色属性成长'!F34</f>
        <v>497</v>
      </c>
      <c r="C34" s="1">
        <f>'1_角色属性成长'!G34</f>
        <v>6911</v>
      </c>
      <c r="D34" s="5">
        <f t="shared" si="0"/>
        <v>6.4239828693790149E-2</v>
      </c>
      <c r="E34" s="7" t="s">
        <v>54</v>
      </c>
      <c r="F34" s="1"/>
      <c r="G34" s="1"/>
      <c r="H34" s="1"/>
      <c r="I34" s="1"/>
      <c r="J34" s="1"/>
      <c r="K34" s="1"/>
    </row>
    <row r="35" spans="1:11" ht="15">
      <c r="A35" s="1">
        <f>'1_角色属性成长'!A35</f>
        <v>32</v>
      </c>
      <c r="B35" s="1">
        <f>'1_角色属性成长'!F35</f>
        <v>529</v>
      </c>
      <c r="C35" s="1">
        <f>'1_角色属性成长'!G35</f>
        <v>7440</v>
      </c>
      <c r="D35" s="5">
        <f t="shared" si="0"/>
        <v>6.4386317907444673E-2</v>
      </c>
      <c r="E35" s="7" t="s">
        <v>54</v>
      </c>
      <c r="F35" s="1"/>
      <c r="G35" s="1"/>
      <c r="H35" s="1"/>
      <c r="I35" s="1"/>
      <c r="J35" s="1"/>
      <c r="K35" s="1"/>
    </row>
    <row r="36" spans="1:11" ht="15">
      <c r="A36" s="1">
        <f>'1_角色属性成长'!A36</f>
        <v>33</v>
      </c>
      <c r="B36" s="1">
        <f>'1_角色属性成长'!F36</f>
        <v>564</v>
      </c>
      <c r="C36" s="1">
        <f>'1_角色属性成长'!G36</f>
        <v>8004</v>
      </c>
      <c r="D36" s="5">
        <f t="shared" si="0"/>
        <v>6.6162570888468802E-2</v>
      </c>
      <c r="E36" s="7" t="s">
        <v>54</v>
      </c>
      <c r="F36" s="1"/>
      <c r="G36" s="1"/>
      <c r="H36" s="1"/>
      <c r="I36" s="1"/>
      <c r="J36" s="1"/>
      <c r="K36" s="1"/>
    </row>
    <row r="37" spans="1:11" ht="15">
      <c r="A37" s="1">
        <f>'1_角色属性成长'!A37</f>
        <v>34</v>
      </c>
      <c r="B37" s="1">
        <f>'1_角色属性成长'!F37</f>
        <v>600</v>
      </c>
      <c r="C37" s="1">
        <f>'1_角色属性成长'!G37</f>
        <v>8604</v>
      </c>
      <c r="D37" s="5">
        <f t="shared" ref="D37:D68" si="1">IF(B36=0,0,(B37-B36)/B36)</f>
        <v>6.3829787234042548E-2</v>
      </c>
      <c r="E37" s="7" t="s">
        <v>54</v>
      </c>
      <c r="F37" s="1"/>
      <c r="G37" s="1"/>
      <c r="H37" s="1"/>
      <c r="I37" s="1"/>
      <c r="J37" s="1"/>
      <c r="K37" s="1"/>
    </row>
    <row r="38" spans="1:11" ht="15">
      <c r="A38" s="1">
        <f>'1_角色属性成长'!A38</f>
        <v>35</v>
      </c>
      <c r="B38" s="1">
        <f>'1_角色属性成长'!F38</f>
        <v>639</v>
      </c>
      <c r="C38" s="1">
        <f>'1_角色属性成长'!G38</f>
        <v>9243</v>
      </c>
      <c r="D38" s="5">
        <f t="shared" si="1"/>
        <v>6.5000000000000002E-2</v>
      </c>
      <c r="E38" s="7" t="s">
        <v>54</v>
      </c>
      <c r="F38" s="1"/>
      <c r="G38" s="1"/>
      <c r="H38" s="1"/>
      <c r="I38" s="1"/>
      <c r="J38" s="1"/>
      <c r="K38" s="1"/>
    </row>
    <row r="39" spans="1:11" ht="15">
      <c r="A39" s="1">
        <f>'1_角色属性成长'!A39</f>
        <v>36</v>
      </c>
      <c r="B39" s="1">
        <f>'1_角色属性成长'!F39</f>
        <v>681</v>
      </c>
      <c r="C39" s="1">
        <f>'1_角色属性成长'!G39</f>
        <v>9924</v>
      </c>
      <c r="D39" s="5">
        <f t="shared" si="1"/>
        <v>6.5727699530516437E-2</v>
      </c>
      <c r="E39" s="7" t="s">
        <v>54</v>
      </c>
      <c r="F39" s="1"/>
      <c r="G39" s="1"/>
      <c r="H39" s="1"/>
      <c r="I39" s="1"/>
      <c r="J39" s="1"/>
      <c r="K39" s="1"/>
    </row>
    <row r="40" spans="1:11" ht="15">
      <c r="A40" s="1">
        <f>'1_角色属性成长'!A40</f>
        <v>37</v>
      </c>
      <c r="B40" s="1">
        <f>'1_角色属性成长'!F40</f>
        <v>725</v>
      </c>
      <c r="C40" s="1">
        <f>'1_角色属性成长'!G40</f>
        <v>10649</v>
      </c>
      <c r="D40" s="5">
        <f t="shared" si="1"/>
        <v>6.4610866372980913E-2</v>
      </c>
      <c r="E40" s="7" t="s">
        <v>54</v>
      </c>
      <c r="F40" s="1"/>
      <c r="G40" s="1"/>
      <c r="H40" s="1"/>
      <c r="I40" s="1"/>
      <c r="J40" s="1"/>
      <c r="K40" s="1"/>
    </row>
    <row r="41" spans="1:11" ht="15">
      <c r="A41" s="1">
        <f>'1_角色属性成长'!A41</f>
        <v>38</v>
      </c>
      <c r="B41" s="1">
        <f>'1_角色属性成长'!F41</f>
        <v>772</v>
      </c>
      <c r="C41" s="1">
        <f>'1_角色属性成长'!G41</f>
        <v>11421</v>
      </c>
      <c r="D41" s="5">
        <f t="shared" si="1"/>
        <v>6.4827586206896548E-2</v>
      </c>
      <c r="E41" s="7" t="s">
        <v>54</v>
      </c>
      <c r="F41" s="1"/>
      <c r="G41" s="1"/>
      <c r="H41" s="1"/>
      <c r="I41" s="1"/>
      <c r="J41" s="1"/>
      <c r="K41" s="1"/>
    </row>
    <row r="42" spans="1:11" ht="15">
      <c r="A42" s="1">
        <f>'1_角色属性成长'!A42</f>
        <v>39</v>
      </c>
      <c r="B42" s="1">
        <f>'1_角色属性成长'!F42</f>
        <v>822</v>
      </c>
      <c r="C42" s="1">
        <f>'1_角色属性成长'!G42</f>
        <v>12243</v>
      </c>
      <c r="D42" s="5">
        <f t="shared" si="1"/>
        <v>6.4766839378238336E-2</v>
      </c>
      <c r="E42" s="7" t="s">
        <v>54</v>
      </c>
      <c r="F42" s="1"/>
      <c r="G42" s="1"/>
      <c r="H42" s="1"/>
      <c r="I42" s="1"/>
      <c r="J42" s="1"/>
      <c r="K42" s="1"/>
    </row>
    <row r="43" spans="1:11" ht="15">
      <c r="A43" s="1">
        <f>'1_角色属性成长'!A43</f>
        <v>40</v>
      </c>
      <c r="B43" s="1">
        <f>'1_角色属性成长'!F43</f>
        <v>876</v>
      </c>
      <c r="C43" s="1">
        <f>'1_角色属性成长'!G43</f>
        <v>13119</v>
      </c>
      <c r="D43" s="5">
        <f t="shared" si="1"/>
        <v>6.569343065693431E-2</v>
      </c>
      <c r="E43" s="7" t="s">
        <v>54</v>
      </c>
      <c r="F43" s="1"/>
      <c r="G43" s="1"/>
      <c r="H43" s="1"/>
      <c r="I43" s="1"/>
      <c r="J43" s="1"/>
      <c r="K43" s="1"/>
    </row>
    <row r="44" spans="1:11" ht="15">
      <c r="A44" s="1">
        <f>'1_角色属性成长'!A44</f>
        <v>41</v>
      </c>
      <c r="B44" s="1">
        <f>'1_角色属性成长'!F44</f>
        <v>933</v>
      </c>
      <c r="C44" s="1">
        <f>'1_角色属性成长'!G44</f>
        <v>14052</v>
      </c>
      <c r="D44" s="5">
        <f t="shared" si="1"/>
        <v>6.5068493150684928E-2</v>
      </c>
      <c r="E44" s="7" t="s">
        <v>54</v>
      </c>
      <c r="F44" s="1"/>
      <c r="G44" s="1"/>
      <c r="H44" s="1"/>
      <c r="I44" s="1"/>
      <c r="J44" s="1"/>
      <c r="K44" s="1"/>
    </row>
    <row r="45" spans="1:11" ht="15">
      <c r="A45" s="1">
        <f>'1_角色属性成长'!A45</f>
        <v>42</v>
      </c>
      <c r="B45" s="1">
        <f>'1_角色属性成长'!F45</f>
        <v>993</v>
      </c>
      <c r="C45" s="1">
        <f>'1_角色属性成长'!G45</f>
        <v>15045</v>
      </c>
      <c r="D45" s="5">
        <f t="shared" si="1"/>
        <v>6.4308681672025719E-2</v>
      </c>
      <c r="E45" s="7" t="s">
        <v>54</v>
      </c>
      <c r="F45" s="1"/>
      <c r="G45" s="1"/>
      <c r="H45" s="1"/>
      <c r="I45" s="1"/>
      <c r="J45" s="1"/>
      <c r="K45" s="1"/>
    </row>
    <row r="46" spans="1:11" ht="15">
      <c r="A46" s="1">
        <f>'1_角色属性成长'!A46</f>
        <v>43</v>
      </c>
      <c r="B46" s="1">
        <f>'1_角色属性成长'!F46</f>
        <v>1058</v>
      </c>
      <c r="C46" s="1">
        <f>'1_角色属性成长'!G46</f>
        <v>16103</v>
      </c>
      <c r="D46" s="5">
        <f t="shared" si="1"/>
        <v>6.5458207452165157E-2</v>
      </c>
      <c r="E46" s="7" t="s">
        <v>54</v>
      </c>
      <c r="F46" s="1"/>
      <c r="G46" s="1"/>
      <c r="H46" s="1"/>
      <c r="I46" s="1"/>
      <c r="J46" s="1"/>
      <c r="K46" s="1"/>
    </row>
    <row r="47" spans="1:11" ht="15">
      <c r="A47" s="1">
        <f>'1_角色属性成长'!A47</f>
        <v>44</v>
      </c>
      <c r="B47" s="1">
        <f>'1_角色属性成长'!F47</f>
        <v>1127</v>
      </c>
      <c r="C47" s="1">
        <f>'1_角色属性成长'!G47</f>
        <v>17230</v>
      </c>
      <c r="D47" s="5">
        <f t="shared" si="1"/>
        <v>6.5217391304347824E-2</v>
      </c>
      <c r="E47" s="7" t="s">
        <v>54</v>
      </c>
      <c r="F47" s="1"/>
      <c r="G47" s="1"/>
      <c r="H47" s="1"/>
      <c r="I47" s="1"/>
      <c r="J47" s="1"/>
      <c r="K47" s="1"/>
    </row>
    <row r="48" spans="1:11" ht="15">
      <c r="A48" s="1">
        <f>'1_角色属性成长'!A48</f>
        <v>45</v>
      </c>
      <c r="B48" s="1">
        <f>'1_角色属性成长'!F48</f>
        <v>1200</v>
      </c>
      <c r="C48" s="1">
        <f>'1_角色属性成长'!G48</f>
        <v>18430</v>
      </c>
      <c r="D48" s="5">
        <f t="shared" si="1"/>
        <v>6.4773735581188999E-2</v>
      </c>
      <c r="E48" s="7" t="s">
        <v>54</v>
      </c>
      <c r="F48" s="1"/>
      <c r="G48" s="1"/>
      <c r="H48" s="1"/>
      <c r="I48" s="1"/>
      <c r="J48" s="1"/>
      <c r="K48" s="1"/>
    </row>
    <row r="49" spans="1:11" ht="15">
      <c r="A49" s="1">
        <f>'1_角色属性成长'!A49</f>
        <v>46</v>
      </c>
      <c r="B49" s="1">
        <f>'1_角色属性成长'!F49</f>
        <v>1278</v>
      </c>
      <c r="C49" s="1">
        <f>'1_角色属性成长'!G49</f>
        <v>19708</v>
      </c>
      <c r="D49" s="5">
        <f t="shared" si="1"/>
        <v>6.5000000000000002E-2</v>
      </c>
      <c r="E49" s="7" t="s">
        <v>54</v>
      </c>
      <c r="F49" s="1"/>
      <c r="G49" s="1"/>
      <c r="H49" s="1"/>
      <c r="I49" s="1"/>
      <c r="J49" s="1"/>
      <c r="K49" s="1"/>
    </row>
    <row r="50" spans="1:11" ht="15">
      <c r="A50" s="1">
        <f>'1_角色属性成长'!A50</f>
        <v>47</v>
      </c>
      <c r="B50" s="1">
        <f>'1_角色属性成长'!F50</f>
        <v>1361</v>
      </c>
      <c r="C50" s="1">
        <f>'1_角色属性成长'!G50</f>
        <v>21069</v>
      </c>
      <c r="D50" s="5">
        <f t="shared" si="1"/>
        <v>6.4945226917057897E-2</v>
      </c>
      <c r="E50" s="7" t="s">
        <v>54</v>
      </c>
      <c r="F50" s="1"/>
      <c r="G50" s="1"/>
      <c r="H50" s="1"/>
      <c r="I50" s="1"/>
      <c r="J50" s="1"/>
      <c r="K50" s="1"/>
    </row>
    <row r="51" spans="1:11" ht="15">
      <c r="A51" s="1">
        <f>'1_角色属性成长'!A51</f>
        <v>48</v>
      </c>
      <c r="B51" s="1">
        <f>'1_角色属性成长'!F51</f>
        <v>1449</v>
      </c>
      <c r="C51" s="1">
        <f>'1_角色属性成长'!G51</f>
        <v>22518</v>
      </c>
      <c r="D51" s="5">
        <f t="shared" si="1"/>
        <v>6.4658339456282146E-2</v>
      </c>
      <c r="E51" s="7" t="s">
        <v>54</v>
      </c>
      <c r="F51" s="1"/>
      <c r="G51" s="1"/>
      <c r="H51" s="1"/>
      <c r="I51" s="1"/>
      <c r="J51" s="1"/>
      <c r="K51" s="1"/>
    </row>
    <row r="52" spans="1:11" ht="15">
      <c r="A52" s="1">
        <f>'1_角色属性成长'!A52</f>
        <v>49</v>
      </c>
      <c r="B52" s="1">
        <f>'1_角色属性成长'!F52</f>
        <v>1544</v>
      </c>
      <c r="C52" s="1">
        <f>'1_角色属性成长'!G52</f>
        <v>24062</v>
      </c>
      <c r="D52" s="5">
        <f t="shared" si="1"/>
        <v>6.5562456866804689E-2</v>
      </c>
      <c r="E52" s="7" t="s">
        <v>54</v>
      </c>
      <c r="F52" s="1"/>
      <c r="G52" s="1"/>
      <c r="H52" s="1"/>
      <c r="I52" s="1"/>
      <c r="J52" s="1"/>
      <c r="K52" s="1"/>
    </row>
    <row r="53" spans="1:11" ht="15">
      <c r="A53" s="1">
        <f>'1_角色属性成长'!A53</f>
        <v>50</v>
      </c>
      <c r="B53" s="1">
        <f>'1_角色属性成长'!F53</f>
        <v>1644</v>
      </c>
      <c r="C53" s="1">
        <f>'1_角色属性成长'!G53</f>
        <v>25706</v>
      </c>
      <c r="D53" s="5">
        <f t="shared" si="1"/>
        <v>6.4766839378238336E-2</v>
      </c>
      <c r="E53" s="7" t="s">
        <v>54</v>
      </c>
      <c r="F53" s="1"/>
      <c r="G53" s="1"/>
      <c r="H53" s="1"/>
      <c r="I53" s="1"/>
      <c r="J53" s="1"/>
      <c r="K53" s="1"/>
    </row>
    <row r="54" spans="1:11" ht="15">
      <c r="A54" s="1">
        <f>'1_角色属性成长'!A54</f>
        <v>51</v>
      </c>
      <c r="B54" s="1">
        <f>'1_角色属性成长'!F54</f>
        <v>1751</v>
      </c>
      <c r="C54" s="1">
        <f>'1_角色属性成长'!G54</f>
        <v>27457</v>
      </c>
      <c r="D54" s="5">
        <f t="shared" si="1"/>
        <v>6.5085158150851585E-2</v>
      </c>
      <c r="E54" s="7" t="s">
        <v>55</v>
      </c>
      <c r="F54" s="1"/>
      <c r="G54" s="1"/>
      <c r="H54" s="1"/>
      <c r="I54" s="1"/>
      <c r="J54" s="1"/>
      <c r="K54" s="1"/>
    </row>
    <row r="55" spans="1:11" ht="15">
      <c r="A55" s="1">
        <f>'1_角色属性成长'!A55</f>
        <v>52</v>
      </c>
      <c r="B55" s="1">
        <f>'1_角色属性成长'!F55</f>
        <v>1865</v>
      </c>
      <c r="C55" s="1">
        <f>'1_角色属性成长'!G55</f>
        <v>29322</v>
      </c>
      <c r="D55" s="5">
        <f t="shared" si="1"/>
        <v>6.5105653912050254E-2</v>
      </c>
      <c r="E55" s="7" t="s">
        <v>55</v>
      </c>
      <c r="F55" s="1"/>
      <c r="G55" s="1"/>
      <c r="H55" s="1"/>
      <c r="I55" s="1"/>
      <c r="J55" s="1"/>
      <c r="K55" s="1"/>
    </row>
    <row r="56" spans="1:11" ht="15">
      <c r="A56" s="1">
        <f>'1_角色属性成长'!A56</f>
        <v>53</v>
      </c>
      <c r="B56" s="1">
        <f>'1_角色属性成长'!F56</f>
        <v>1986</v>
      </c>
      <c r="C56" s="1">
        <f>'1_角色属性成长'!G56</f>
        <v>31308</v>
      </c>
      <c r="D56" s="5">
        <f t="shared" si="1"/>
        <v>6.4879356568364605E-2</v>
      </c>
      <c r="E56" s="7" t="s">
        <v>55</v>
      </c>
      <c r="F56" s="1"/>
      <c r="G56" s="1"/>
      <c r="H56" s="1"/>
      <c r="I56" s="1"/>
      <c r="J56" s="1"/>
      <c r="K56" s="1"/>
    </row>
    <row r="57" spans="1:11" ht="15">
      <c r="A57" s="1">
        <f>'1_角色属性成长'!A57</f>
        <v>54</v>
      </c>
      <c r="B57" s="1">
        <f>'1_角色属性成长'!F57</f>
        <v>2115</v>
      </c>
      <c r="C57" s="1">
        <f>'1_角色属性成长'!G57</f>
        <v>33423</v>
      </c>
      <c r="D57" s="5">
        <f t="shared" si="1"/>
        <v>6.4954682779456194E-2</v>
      </c>
      <c r="E57" s="7" t="s">
        <v>55</v>
      </c>
      <c r="F57" s="1"/>
      <c r="G57" s="1"/>
      <c r="H57" s="1"/>
      <c r="I57" s="1"/>
      <c r="J57" s="1"/>
      <c r="K57" s="1"/>
    </row>
    <row r="58" spans="1:11" ht="15">
      <c r="A58" s="1">
        <f>'1_角色属性成长'!A58</f>
        <v>55</v>
      </c>
      <c r="B58" s="1">
        <f>'1_角色属性成长'!F58</f>
        <v>2252</v>
      </c>
      <c r="C58" s="1">
        <f>'1_角色属性成长'!G58</f>
        <v>35675</v>
      </c>
      <c r="D58" s="5">
        <f t="shared" si="1"/>
        <v>6.4775413711583921E-2</v>
      </c>
      <c r="E58" s="7" t="s">
        <v>55</v>
      </c>
      <c r="F58" s="1"/>
      <c r="G58" s="1"/>
      <c r="H58" s="1"/>
      <c r="I58" s="1"/>
      <c r="J58" s="1"/>
      <c r="K58" s="1"/>
    </row>
    <row r="59" spans="1:11" ht="15">
      <c r="A59" s="1">
        <f>'1_角色属性成长'!A59</f>
        <v>56</v>
      </c>
      <c r="B59" s="1">
        <f>'1_角色属性成长'!F59</f>
        <v>2399</v>
      </c>
      <c r="C59" s="1">
        <f>'1_角色属性成长'!G59</f>
        <v>38074</v>
      </c>
      <c r="D59" s="5">
        <f t="shared" si="1"/>
        <v>6.5275310834813499E-2</v>
      </c>
      <c r="E59" s="7" t="s">
        <v>55</v>
      </c>
      <c r="F59" s="1"/>
      <c r="G59" s="1"/>
      <c r="H59" s="1"/>
      <c r="I59" s="1"/>
      <c r="J59" s="1"/>
      <c r="K59" s="1"/>
    </row>
    <row r="60" spans="1:11" ht="15">
      <c r="A60" s="1">
        <f>'1_角色属性成长'!A60</f>
        <v>57</v>
      </c>
      <c r="B60" s="1">
        <f>'1_角色属性成长'!F60</f>
        <v>2555</v>
      </c>
      <c r="C60" s="1">
        <f>'1_角色属性成长'!G60</f>
        <v>40629</v>
      </c>
      <c r="D60" s="5">
        <f t="shared" si="1"/>
        <v>6.5027094622759476E-2</v>
      </c>
      <c r="E60" s="7" t="s">
        <v>55</v>
      </c>
      <c r="F60" s="1"/>
      <c r="G60" s="1"/>
      <c r="H60" s="1"/>
      <c r="I60" s="1"/>
      <c r="J60" s="1"/>
      <c r="K60" s="1"/>
    </row>
    <row r="61" spans="1:11" ht="15">
      <c r="A61" s="1">
        <f>'1_角色属性成长'!A61</f>
        <v>58</v>
      </c>
      <c r="B61" s="1">
        <f>'1_角色属性成长'!F61</f>
        <v>2721</v>
      </c>
      <c r="C61" s="1">
        <f>'1_角色属性成长'!G61</f>
        <v>43350</v>
      </c>
      <c r="D61" s="5">
        <f t="shared" si="1"/>
        <v>6.4970645792563606E-2</v>
      </c>
      <c r="E61" s="7" t="s">
        <v>55</v>
      </c>
      <c r="F61" s="1"/>
      <c r="G61" s="1"/>
      <c r="H61" s="1"/>
      <c r="I61" s="1"/>
      <c r="J61" s="1"/>
      <c r="K61" s="1"/>
    </row>
    <row r="62" spans="1:11" ht="15">
      <c r="A62" s="1">
        <f>'1_角色属性成长'!A62</f>
        <v>59</v>
      </c>
      <c r="B62" s="1">
        <f>'1_角色属性成长'!F62</f>
        <v>2897</v>
      </c>
      <c r="C62" s="1">
        <f>'1_角色属性成长'!G62</f>
        <v>46247</v>
      </c>
      <c r="D62" s="5">
        <f t="shared" si="1"/>
        <v>6.4682102168320474E-2</v>
      </c>
      <c r="E62" s="7" t="s">
        <v>55</v>
      </c>
      <c r="F62" s="1"/>
      <c r="G62" s="1"/>
      <c r="H62" s="1"/>
      <c r="I62" s="1"/>
      <c r="J62" s="1"/>
      <c r="K62" s="1"/>
    </row>
    <row r="63" spans="1:11" ht="15">
      <c r="A63" s="1">
        <f>'1_角色属性成长'!A63</f>
        <v>60</v>
      </c>
      <c r="B63" s="1">
        <f>'1_角色属性成长'!F63</f>
        <v>3086</v>
      </c>
      <c r="C63" s="1">
        <f>'1_角色属性成长'!G63</f>
        <v>49333</v>
      </c>
      <c r="D63" s="5">
        <f t="shared" si="1"/>
        <v>6.5239903348291342E-2</v>
      </c>
      <c r="E63" s="7" t="s">
        <v>55</v>
      </c>
      <c r="F63" s="1"/>
      <c r="G63" s="1"/>
      <c r="H63" s="1"/>
      <c r="I63" s="1"/>
      <c r="J63" s="1"/>
      <c r="K63" s="1"/>
    </row>
    <row r="64" spans="1:11" ht="15">
      <c r="A64" s="1">
        <f>'1_角色属性成长'!A64</f>
        <v>61</v>
      </c>
      <c r="B64" s="1">
        <f>'1_角色属性成长'!F64</f>
        <v>3286</v>
      </c>
      <c r="C64" s="1">
        <f>'1_角色属性成长'!G64</f>
        <v>52619</v>
      </c>
      <c r="D64" s="5">
        <f t="shared" si="1"/>
        <v>6.4808813998703821E-2</v>
      </c>
      <c r="E64" s="7" t="s">
        <v>55</v>
      </c>
      <c r="F64" s="1"/>
      <c r="G64" s="1"/>
      <c r="H64" s="1"/>
      <c r="I64" s="1"/>
      <c r="J64" s="1"/>
      <c r="K64" s="1"/>
    </row>
    <row r="65" spans="1:11" ht="15">
      <c r="A65" s="1">
        <f>'1_角色属性成长'!A65</f>
        <v>62</v>
      </c>
      <c r="B65" s="1">
        <f>'1_角色属性成长'!F65</f>
        <v>3500</v>
      </c>
      <c r="C65" s="1">
        <f>'1_角色属性成长'!G65</f>
        <v>56119</v>
      </c>
      <c r="D65" s="5">
        <f t="shared" si="1"/>
        <v>6.5124771758977476E-2</v>
      </c>
      <c r="E65" s="7" t="s">
        <v>55</v>
      </c>
      <c r="F65" s="1"/>
      <c r="G65" s="1"/>
      <c r="H65" s="1"/>
      <c r="I65" s="1"/>
      <c r="J65" s="1"/>
      <c r="K65" s="1"/>
    </row>
    <row r="66" spans="1:11" ht="15">
      <c r="A66" s="1">
        <f>'1_角色属性成长'!A66</f>
        <v>63</v>
      </c>
      <c r="B66" s="1">
        <f>'1_角色属性成长'!F66</f>
        <v>3727</v>
      </c>
      <c r="C66" s="1">
        <f>'1_角色属性成长'!G66</f>
        <v>59846</v>
      </c>
      <c r="D66" s="5">
        <f t="shared" si="1"/>
        <v>6.4857142857142863E-2</v>
      </c>
      <c r="E66" s="7" t="s">
        <v>55</v>
      </c>
      <c r="F66" s="1"/>
      <c r="G66" s="1"/>
      <c r="H66" s="1"/>
      <c r="I66" s="1"/>
      <c r="J66" s="1"/>
      <c r="K66" s="1"/>
    </row>
    <row r="67" spans="1:11" ht="15">
      <c r="A67" s="1">
        <f>'1_角色属性成长'!A67</f>
        <v>64</v>
      </c>
      <c r="B67" s="1">
        <f>'1_角色属性成长'!F67</f>
        <v>3970</v>
      </c>
      <c r="C67" s="1">
        <f>'1_角色属性成长'!G67</f>
        <v>63816</v>
      </c>
      <c r="D67" s="5">
        <f t="shared" si="1"/>
        <v>6.5199892675073784E-2</v>
      </c>
      <c r="E67" s="7" t="s">
        <v>55</v>
      </c>
      <c r="F67" s="1"/>
      <c r="G67" s="1"/>
      <c r="H67" s="1"/>
      <c r="I67" s="1"/>
      <c r="J67" s="1"/>
      <c r="K67" s="1"/>
    </row>
    <row r="68" spans="1:11" ht="15">
      <c r="A68" s="1">
        <f>'1_角色属性成长'!A68</f>
        <v>65</v>
      </c>
      <c r="B68" s="1">
        <f>'1_角色属性成长'!F68</f>
        <v>4228</v>
      </c>
      <c r="C68" s="1">
        <f>'1_角色属性成长'!G68</f>
        <v>68044</v>
      </c>
      <c r="D68" s="5">
        <f t="shared" si="1"/>
        <v>6.498740554156171E-2</v>
      </c>
      <c r="E68" s="7" t="s">
        <v>55</v>
      </c>
      <c r="F68" s="1"/>
      <c r="G68" s="1"/>
      <c r="H68" s="1"/>
      <c r="I68" s="1"/>
      <c r="J68" s="1"/>
      <c r="K68" s="1"/>
    </row>
    <row r="69" spans="1:11" ht="15">
      <c r="A69" s="1">
        <f>'1_角色属性成长'!A69</f>
        <v>66</v>
      </c>
      <c r="B69" s="1">
        <f>'1_角色属性成长'!F69</f>
        <v>4503</v>
      </c>
      <c r="C69" s="1">
        <f>'1_角色属性成长'!G69</f>
        <v>72547</v>
      </c>
      <c r="D69" s="5">
        <f t="shared" ref="D69:D83" si="2">IF(B68=0,0,(B69-B68)/B68)</f>
        <v>6.5042573320719013E-2</v>
      </c>
      <c r="E69" s="7" t="s">
        <v>55</v>
      </c>
      <c r="F69" s="1"/>
      <c r="G69" s="1"/>
      <c r="H69" s="1"/>
      <c r="I69" s="1"/>
      <c r="J69" s="1"/>
      <c r="K69" s="1"/>
    </row>
    <row r="70" spans="1:11" ht="15">
      <c r="A70" s="1">
        <f>'1_角色属性成长'!A70</f>
        <v>67</v>
      </c>
      <c r="B70" s="1">
        <f>'1_角色属性成长'!F70</f>
        <v>4795</v>
      </c>
      <c r="C70" s="1">
        <f>'1_角色属性成长'!G70</f>
        <v>77342</v>
      </c>
      <c r="D70" s="5">
        <f t="shared" si="2"/>
        <v>6.484565844992228E-2</v>
      </c>
      <c r="E70" s="7" t="s">
        <v>55</v>
      </c>
      <c r="F70" s="1"/>
      <c r="G70" s="1"/>
      <c r="H70" s="1"/>
      <c r="I70" s="1"/>
      <c r="J70" s="1"/>
      <c r="K70" s="1"/>
    </row>
    <row r="71" spans="1:11" ht="15">
      <c r="A71" s="1">
        <f>'1_角色属性成长'!A71</f>
        <v>68</v>
      </c>
      <c r="B71" s="1">
        <f>'1_角色属性成长'!F71</f>
        <v>5107</v>
      </c>
      <c r="C71" s="1">
        <f>'1_角色属性成长'!G71</f>
        <v>82449</v>
      </c>
      <c r="D71" s="5">
        <f t="shared" si="2"/>
        <v>6.5067778936392082E-2</v>
      </c>
      <c r="E71" s="7" t="s">
        <v>55</v>
      </c>
      <c r="F71" s="1"/>
      <c r="G71" s="1"/>
      <c r="H71" s="1"/>
      <c r="I71" s="1"/>
      <c r="J71" s="1"/>
      <c r="K71" s="1"/>
    </row>
    <row r="72" spans="1:11" ht="15">
      <c r="A72" s="1">
        <f>'1_角色属性成长'!A72</f>
        <v>69</v>
      </c>
      <c r="B72" s="1">
        <f>'1_角色属性成长'!F72</f>
        <v>5439</v>
      </c>
      <c r="C72" s="1">
        <f>'1_角色属性成长'!G72</f>
        <v>87888</v>
      </c>
      <c r="D72" s="5">
        <f t="shared" si="2"/>
        <v>6.5008811435284905E-2</v>
      </c>
      <c r="E72" s="7" t="s">
        <v>55</v>
      </c>
      <c r="F72" s="1"/>
      <c r="G72" s="1"/>
      <c r="H72" s="1"/>
      <c r="I72" s="1"/>
      <c r="J72" s="1"/>
      <c r="K72" s="1"/>
    </row>
    <row r="73" spans="1:11" ht="15">
      <c r="A73" s="1">
        <f>'1_角色属性成长'!A73</f>
        <v>70</v>
      </c>
      <c r="B73" s="1">
        <f>'1_角色属性成长'!F73</f>
        <v>5792</v>
      </c>
      <c r="C73" s="1">
        <f>'1_角色属性成长'!G73</f>
        <v>93680</v>
      </c>
      <c r="D73" s="5">
        <f t="shared" si="2"/>
        <v>6.4901636330207763E-2</v>
      </c>
      <c r="E73" s="7" t="s">
        <v>55</v>
      </c>
      <c r="F73" s="1"/>
      <c r="G73" s="1"/>
      <c r="H73" s="1"/>
      <c r="I73" s="1"/>
      <c r="J73" s="1"/>
      <c r="K73" s="1"/>
    </row>
    <row r="74" spans="1:11" ht="15">
      <c r="A74" s="1">
        <f>'1_角色属性成长'!A74</f>
        <v>71</v>
      </c>
      <c r="B74" s="1">
        <f>'1_角色属性成长'!F74</f>
        <v>6169</v>
      </c>
      <c r="C74" s="1">
        <f>'1_角色属性成长'!G74</f>
        <v>99849</v>
      </c>
      <c r="D74" s="5">
        <f t="shared" si="2"/>
        <v>6.5089779005524859E-2</v>
      </c>
      <c r="E74" s="7" t="s">
        <v>55</v>
      </c>
      <c r="F74" s="1"/>
      <c r="G74" s="1"/>
      <c r="H74" s="1"/>
      <c r="I74" s="1"/>
      <c r="J74" s="1"/>
      <c r="K74" s="1"/>
    </row>
    <row r="75" spans="1:11" ht="15">
      <c r="A75" s="1">
        <f>'1_角色属性成长'!A75</f>
        <v>72</v>
      </c>
      <c r="B75" s="1">
        <f>'1_角色属性成长'!F75</f>
        <v>6570</v>
      </c>
      <c r="C75" s="1">
        <f>'1_角色属性成长'!G75</f>
        <v>106419</v>
      </c>
      <c r="D75" s="5">
        <f t="shared" si="2"/>
        <v>6.5002431512400718E-2</v>
      </c>
      <c r="E75" s="7" t="s">
        <v>55</v>
      </c>
      <c r="F75" s="1"/>
      <c r="G75" s="1"/>
      <c r="H75" s="1"/>
      <c r="I75" s="1"/>
      <c r="J75" s="1"/>
      <c r="K75" s="1"/>
    </row>
    <row r="76" spans="1:11" ht="15">
      <c r="A76" s="1">
        <f>'1_角色属性成长'!A76</f>
        <v>73</v>
      </c>
      <c r="B76" s="1">
        <f>'1_角色属性成长'!F76</f>
        <v>6997</v>
      </c>
      <c r="C76" s="1">
        <f>'1_角色属性成长'!G76</f>
        <v>113416</v>
      </c>
      <c r="D76" s="5">
        <f t="shared" si="2"/>
        <v>6.499238964992389E-2</v>
      </c>
      <c r="E76" s="7" t="s">
        <v>55</v>
      </c>
      <c r="F76" s="1"/>
      <c r="G76" s="1"/>
      <c r="H76" s="1"/>
      <c r="I76" s="1"/>
      <c r="J76" s="1"/>
      <c r="K76" s="1"/>
    </row>
    <row r="77" spans="1:11" ht="15">
      <c r="A77" s="1">
        <f>'1_角色属性成长'!A77</f>
        <v>74</v>
      </c>
      <c r="B77" s="1">
        <f>'1_角色属性成长'!F77</f>
        <v>7452</v>
      </c>
      <c r="C77" s="1">
        <f>'1_角色属性成长'!G77</f>
        <v>120868</v>
      </c>
      <c r="D77" s="5">
        <f t="shared" si="2"/>
        <v>6.5027869086751469E-2</v>
      </c>
      <c r="E77" s="7" t="s">
        <v>55</v>
      </c>
      <c r="F77" s="1"/>
      <c r="G77" s="1"/>
      <c r="H77" s="1"/>
      <c r="I77" s="1"/>
      <c r="J77" s="1"/>
      <c r="K77" s="1"/>
    </row>
    <row r="78" spans="1:11" ht="15">
      <c r="A78" s="1">
        <f>'1_角色属性成长'!A78</f>
        <v>75</v>
      </c>
      <c r="B78" s="1">
        <f>'1_角色属性成长'!F78</f>
        <v>7936</v>
      </c>
      <c r="C78" s="1">
        <f>'1_角色属性成长'!G78</f>
        <v>128804</v>
      </c>
      <c r="D78" s="5">
        <f t="shared" si="2"/>
        <v>6.4949006977992482E-2</v>
      </c>
      <c r="E78" s="7" t="s">
        <v>55</v>
      </c>
      <c r="F78" s="1"/>
      <c r="G78" s="1"/>
      <c r="H78" s="1"/>
      <c r="I78" s="1"/>
      <c r="J78" s="1"/>
      <c r="K78" s="1"/>
    </row>
    <row r="79" spans="1:11" ht="15">
      <c r="A79" s="1">
        <f>'1_角色属性成长'!A79</f>
        <v>76</v>
      </c>
      <c r="B79" s="1">
        <f>'1_角色属性成长'!F79</f>
        <v>8452</v>
      </c>
      <c r="C79" s="1">
        <f>'1_角色属性成长'!G79</f>
        <v>137256</v>
      </c>
      <c r="D79" s="5">
        <f t="shared" si="2"/>
        <v>6.5020161290322578E-2</v>
      </c>
      <c r="E79" s="7" t="s">
        <v>55</v>
      </c>
      <c r="F79" s="1"/>
      <c r="G79" s="1"/>
      <c r="H79" s="1"/>
      <c r="I79" s="1"/>
      <c r="J79" s="1"/>
      <c r="K79" s="1"/>
    </row>
    <row r="80" spans="1:11" ht="15">
      <c r="A80" s="1">
        <f>'1_角色属性成长'!A80</f>
        <v>77</v>
      </c>
      <c r="B80" s="1">
        <f>'1_角色属性成长'!F80</f>
        <v>9001</v>
      </c>
      <c r="C80" s="1">
        <f>'1_角色属性成长'!G80</f>
        <v>146257</v>
      </c>
      <c r="D80" s="5">
        <f t="shared" si="2"/>
        <v>6.4955040227165167E-2</v>
      </c>
      <c r="E80" s="7" t="s">
        <v>55</v>
      </c>
      <c r="F80" s="1"/>
      <c r="G80" s="1"/>
      <c r="H80" s="1"/>
      <c r="I80" s="1"/>
      <c r="J80" s="1"/>
      <c r="K80" s="1"/>
    </row>
    <row r="81" spans="1:11" ht="15">
      <c r="A81" s="1">
        <f>'1_角色属性成长'!A81</f>
        <v>78</v>
      </c>
      <c r="B81" s="1">
        <f>'1_角色属性成长'!F81</f>
        <v>9587</v>
      </c>
      <c r="C81" s="1">
        <f>'1_角色属性成长'!G81</f>
        <v>155844</v>
      </c>
      <c r="D81" s="5">
        <f t="shared" si="2"/>
        <v>6.510387734696145E-2</v>
      </c>
      <c r="E81" s="7" t="s">
        <v>55</v>
      </c>
      <c r="F81" s="1"/>
      <c r="G81" s="1"/>
      <c r="H81" s="1"/>
      <c r="I81" s="1"/>
      <c r="J81" s="1"/>
      <c r="K81" s="1"/>
    </row>
    <row r="82" spans="1:11" ht="15">
      <c r="A82" s="1">
        <f>'1_角色属性成长'!A82</f>
        <v>79</v>
      </c>
      <c r="B82" s="1">
        <f>'1_角色属性成长'!F82</f>
        <v>10210</v>
      </c>
      <c r="C82" s="1">
        <f>'1_角色属性成长'!G82</f>
        <v>166054</v>
      </c>
      <c r="D82" s="5">
        <f t="shared" si="2"/>
        <v>6.498383227286951E-2</v>
      </c>
      <c r="E82" s="7" t="s">
        <v>55</v>
      </c>
      <c r="F82" s="1"/>
      <c r="G82" s="1"/>
      <c r="H82" s="1"/>
      <c r="I82" s="1"/>
      <c r="J82" s="1"/>
      <c r="K82" s="1"/>
    </row>
    <row r="83" spans="1:11" ht="15">
      <c r="A83" s="1">
        <f>'1_角色属性成长'!A83</f>
        <v>80</v>
      </c>
      <c r="B83" s="1">
        <f>'1_角色属性成长'!F83</f>
        <v>10873</v>
      </c>
      <c r="C83" s="1">
        <f>'1_角色属性成长'!G83</f>
        <v>176927</v>
      </c>
      <c r="D83" s="5">
        <f t="shared" si="2"/>
        <v>6.493633692458374E-2</v>
      </c>
      <c r="E83" s="7" t="s">
        <v>55</v>
      </c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E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>
      <selection sqref="A1:K1"/>
    </sheetView>
  </sheetViews>
  <sheetFormatPr defaultRowHeight="13.8"/>
  <cols>
    <col min="1" max="11" width="14" customWidth="1"/>
  </cols>
  <sheetData>
    <row r="1" spans="1:11" ht="15.6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1" ht="15">
      <c r="A4" s="1" t="s">
        <v>68</v>
      </c>
      <c r="B4" s="1">
        <f>MIN(80,ROUNDUP(1*2.5,0))</f>
        <v>3</v>
      </c>
      <c r="C4" s="1">
        <f>ROUND(INDEX('1_角色属性成长'!$B$4:$B$83,B4)*0.28*(1+0.015*1),0)</f>
        <v>316</v>
      </c>
      <c r="D4" s="1">
        <f>ROUND(INDEX('1_角色属性成长'!$C$4:$C$83,B4)*0.55*(1+0.012*1),0)</f>
        <v>61</v>
      </c>
      <c r="E4" s="1">
        <f>ROUND(INDEX('1_角色属性成长'!$D$4:$D$83,B4)*0.45,0)</f>
        <v>27</v>
      </c>
      <c r="F4" s="1">
        <f t="shared" ref="F4:F33" si="0">ROUND(C4*2.8,0)</f>
        <v>885</v>
      </c>
      <c r="G4" s="1">
        <f t="shared" ref="G4:G33" si="1">ROUND(D4*1.7,0)</f>
        <v>104</v>
      </c>
      <c r="H4" s="1">
        <f t="shared" ref="H4:H33" si="2">ROUND(E4*1.8,0)</f>
        <v>49</v>
      </c>
      <c r="I4" s="1">
        <f t="shared" ref="I4:I33" si="3">ROUND(C4*9.5,0)</f>
        <v>3002</v>
      </c>
      <c r="J4" s="1">
        <f t="shared" ref="J4:J33" si="4">ROUND(D4*2.6,0)</f>
        <v>159</v>
      </c>
      <c r="K4" s="1">
        <f t="shared" ref="K4:K33" si="5">ROUND(E4*2.4,0)</f>
        <v>65</v>
      </c>
    </row>
    <row r="5" spans="1:11" ht="15">
      <c r="A5" s="1" t="s">
        <v>69</v>
      </c>
      <c r="B5" s="1">
        <f>MIN(80,ROUNDUP(2*2.5,0))</f>
        <v>5</v>
      </c>
      <c r="C5" s="1">
        <f>ROUND(INDEX('1_角色属性成长'!$B$4:$B$83,B5)*0.28*(1+0.015*2),0)</f>
        <v>357</v>
      </c>
      <c r="D5" s="1">
        <f>ROUND(INDEX('1_角色属性成长'!$C$4:$C$83,B5)*0.55*(1+0.012*2),0)</f>
        <v>67</v>
      </c>
      <c r="E5" s="1">
        <f>ROUND(INDEX('1_角色属性成长'!$D$4:$D$83,B5)*0.45,0)</f>
        <v>29</v>
      </c>
      <c r="F5" s="1">
        <f t="shared" si="0"/>
        <v>1000</v>
      </c>
      <c r="G5" s="1">
        <f t="shared" si="1"/>
        <v>114</v>
      </c>
      <c r="H5" s="1">
        <f t="shared" si="2"/>
        <v>52</v>
      </c>
      <c r="I5" s="1">
        <f t="shared" si="3"/>
        <v>3392</v>
      </c>
      <c r="J5" s="1">
        <f t="shared" si="4"/>
        <v>174</v>
      </c>
      <c r="K5" s="1">
        <f t="shared" si="5"/>
        <v>70</v>
      </c>
    </row>
    <row r="6" spans="1:11" ht="15">
      <c r="A6" s="1" t="s">
        <v>70</v>
      </c>
      <c r="B6" s="1">
        <f>MIN(80,ROUNDUP(3*2.5,0))</f>
        <v>8</v>
      </c>
      <c r="C6" s="1">
        <f>ROUND(INDEX('1_角色属性成长'!$B$4:$B$83,B6)*0.28*(1+0.015*3),0)</f>
        <v>426</v>
      </c>
      <c r="D6" s="1">
        <f>ROUND(INDEX('1_角色属性成长'!$C$4:$C$83,B6)*0.55*(1+0.012*3),0)</f>
        <v>77</v>
      </c>
      <c r="E6" s="1">
        <f>ROUND(INDEX('1_角色属性成长'!$D$4:$D$83,B6)*0.45,0)</f>
        <v>32</v>
      </c>
      <c r="F6" s="1">
        <f t="shared" si="0"/>
        <v>1193</v>
      </c>
      <c r="G6" s="1">
        <f t="shared" si="1"/>
        <v>131</v>
      </c>
      <c r="H6" s="1">
        <f t="shared" si="2"/>
        <v>58</v>
      </c>
      <c r="I6" s="1">
        <f t="shared" si="3"/>
        <v>4047</v>
      </c>
      <c r="J6" s="1">
        <f t="shared" si="4"/>
        <v>200</v>
      </c>
      <c r="K6" s="1">
        <f t="shared" si="5"/>
        <v>77</v>
      </c>
    </row>
    <row r="7" spans="1:11" ht="15">
      <c r="A7" s="1" t="s">
        <v>71</v>
      </c>
      <c r="B7" s="1">
        <f>MIN(80,ROUNDUP(4*2.5,0))</f>
        <v>10</v>
      </c>
      <c r="C7" s="1">
        <f>ROUND(INDEX('1_角色属性成长'!$B$4:$B$83,B7)*0.28*(1+0.015*4),0)</f>
        <v>481</v>
      </c>
      <c r="D7" s="1">
        <f>ROUND(INDEX('1_角色属性成长'!$C$4:$C$83,B7)*0.55*(1+0.012*4),0)</f>
        <v>86</v>
      </c>
      <c r="E7" s="1">
        <f>ROUND(INDEX('1_角色属性成长'!$D$4:$D$83,B7)*0.45,0)</f>
        <v>35</v>
      </c>
      <c r="F7" s="1">
        <f t="shared" si="0"/>
        <v>1347</v>
      </c>
      <c r="G7" s="1">
        <f t="shared" si="1"/>
        <v>146</v>
      </c>
      <c r="H7" s="1">
        <f t="shared" si="2"/>
        <v>63</v>
      </c>
      <c r="I7" s="1">
        <f t="shared" si="3"/>
        <v>4570</v>
      </c>
      <c r="J7" s="1">
        <f t="shared" si="4"/>
        <v>224</v>
      </c>
      <c r="K7" s="1">
        <f t="shared" si="5"/>
        <v>84</v>
      </c>
    </row>
    <row r="8" spans="1:11" ht="15">
      <c r="A8" s="1" t="s">
        <v>72</v>
      </c>
      <c r="B8" s="1">
        <f>MIN(80,ROUNDUP(5*2.5,0))</f>
        <v>13</v>
      </c>
      <c r="C8" s="1">
        <f>ROUND(INDEX('1_角色属性成长'!$B$4:$B$83,B8)*0.28*(1+0.015*5),0)</f>
        <v>572</v>
      </c>
      <c r="D8" s="1">
        <f>ROUND(INDEX('1_角色属性成长'!$C$4:$C$83,B8)*0.55*(1+0.012*5),0)</f>
        <v>99</v>
      </c>
      <c r="E8" s="1">
        <f>ROUND(INDEX('1_角色属性成长'!$D$4:$D$83,B8)*0.45,0)</f>
        <v>40</v>
      </c>
      <c r="F8" s="1">
        <f t="shared" si="0"/>
        <v>1602</v>
      </c>
      <c r="G8" s="1">
        <f t="shared" si="1"/>
        <v>168</v>
      </c>
      <c r="H8" s="1">
        <f t="shared" si="2"/>
        <v>72</v>
      </c>
      <c r="I8" s="1">
        <f t="shared" si="3"/>
        <v>5434</v>
      </c>
      <c r="J8" s="1">
        <f t="shared" si="4"/>
        <v>257</v>
      </c>
      <c r="K8" s="1">
        <f t="shared" si="5"/>
        <v>96</v>
      </c>
    </row>
    <row r="9" spans="1:11" ht="15">
      <c r="A9" s="1" t="s">
        <v>73</v>
      </c>
      <c r="B9" s="1">
        <f>MIN(80,ROUNDUP(6*2.5,0))</f>
        <v>15</v>
      </c>
      <c r="C9" s="1">
        <f>ROUND(INDEX('1_角色属性成长'!$B$4:$B$83,B9)*0.28*(1+0.015*6),0)</f>
        <v>646</v>
      </c>
      <c r="D9" s="1">
        <f>ROUND(INDEX('1_角色属性成长'!$C$4:$C$83,B9)*0.55*(1+0.012*6),0)</f>
        <v>109</v>
      </c>
      <c r="E9" s="1">
        <f>ROUND(INDEX('1_角色属性成长'!$D$4:$D$83,B9)*0.45,0)</f>
        <v>43</v>
      </c>
      <c r="F9" s="1">
        <f t="shared" si="0"/>
        <v>1809</v>
      </c>
      <c r="G9" s="1">
        <f t="shared" si="1"/>
        <v>185</v>
      </c>
      <c r="H9" s="1">
        <f t="shared" si="2"/>
        <v>77</v>
      </c>
      <c r="I9" s="1">
        <f t="shared" si="3"/>
        <v>6137</v>
      </c>
      <c r="J9" s="1">
        <f t="shared" si="4"/>
        <v>283</v>
      </c>
      <c r="K9" s="1">
        <f t="shared" si="5"/>
        <v>103</v>
      </c>
    </row>
    <row r="10" spans="1:11" ht="15">
      <c r="A10" s="1" t="s">
        <v>74</v>
      </c>
      <c r="B10" s="1">
        <f>MIN(80,ROUNDUP(7*2.5,0))</f>
        <v>18</v>
      </c>
      <c r="C10" s="1">
        <f>ROUND(INDEX('1_角色属性成长'!$B$4:$B$83,B10)*0.28*(1+0.015*7),0)</f>
        <v>769</v>
      </c>
      <c r="D10" s="1">
        <f>ROUND(INDEX('1_角色属性成长'!$C$4:$C$83,B10)*0.55*(1+0.012*7),0)</f>
        <v>126</v>
      </c>
      <c r="E10" s="1">
        <f>ROUND(INDEX('1_角色属性成长'!$D$4:$D$83,B10)*0.45,0)</f>
        <v>48</v>
      </c>
      <c r="F10" s="1">
        <f t="shared" si="0"/>
        <v>2153</v>
      </c>
      <c r="G10" s="1">
        <f t="shared" si="1"/>
        <v>214</v>
      </c>
      <c r="H10" s="1">
        <f t="shared" si="2"/>
        <v>86</v>
      </c>
      <c r="I10" s="1">
        <f t="shared" si="3"/>
        <v>7306</v>
      </c>
      <c r="J10" s="1">
        <f t="shared" si="4"/>
        <v>328</v>
      </c>
      <c r="K10" s="1">
        <f t="shared" si="5"/>
        <v>115</v>
      </c>
    </row>
    <row r="11" spans="1:11" ht="15">
      <c r="A11" s="1" t="s">
        <v>75</v>
      </c>
      <c r="B11" s="1">
        <f>MIN(80,ROUNDUP(8*2.5,0))</f>
        <v>20</v>
      </c>
      <c r="C11" s="1">
        <f>ROUND(INDEX('1_角色属性成长'!$B$4:$B$83,B11)*0.28*(1+0.015*8),0)</f>
        <v>867</v>
      </c>
      <c r="D11" s="1">
        <f>ROUND(INDEX('1_角色属性成长'!$C$4:$C$83,B11)*0.55*(1+0.012*8),0)</f>
        <v>139</v>
      </c>
      <c r="E11" s="1">
        <f>ROUND(INDEX('1_角色属性成长'!$D$4:$D$83,B11)*0.45,0)</f>
        <v>52</v>
      </c>
      <c r="F11" s="1">
        <f t="shared" si="0"/>
        <v>2428</v>
      </c>
      <c r="G11" s="1">
        <f t="shared" si="1"/>
        <v>236</v>
      </c>
      <c r="H11" s="1">
        <f t="shared" si="2"/>
        <v>94</v>
      </c>
      <c r="I11" s="1">
        <f t="shared" si="3"/>
        <v>8237</v>
      </c>
      <c r="J11" s="1">
        <f t="shared" si="4"/>
        <v>361</v>
      </c>
      <c r="K11" s="1">
        <f t="shared" si="5"/>
        <v>125</v>
      </c>
    </row>
    <row r="12" spans="1:11" ht="15">
      <c r="A12" s="1" t="s">
        <v>76</v>
      </c>
      <c r="B12" s="1">
        <f>MIN(80,ROUNDUP(9*2.5,0))</f>
        <v>23</v>
      </c>
      <c r="C12" s="1">
        <f>ROUND(INDEX('1_角色属性成长'!$B$4:$B$83,B12)*0.28*(1+0.015*9),0)</f>
        <v>1032</v>
      </c>
      <c r="D12" s="1">
        <f>ROUND(INDEX('1_角色属性成长'!$C$4:$C$83,B12)*0.55*(1+0.012*9),0)</f>
        <v>160</v>
      </c>
      <c r="E12" s="1">
        <f>ROUND(INDEX('1_角色属性成长'!$D$4:$D$83,B12)*0.45,0)</f>
        <v>59</v>
      </c>
      <c r="F12" s="1">
        <f t="shared" si="0"/>
        <v>2890</v>
      </c>
      <c r="G12" s="1">
        <f t="shared" si="1"/>
        <v>272</v>
      </c>
      <c r="H12" s="1">
        <f t="shared" si="2"/>
        <v>106</v>
      </c>
      <c r="I12" s="1">
        <f t="shared" si="3"/>
        <v>9804</v>
      </c>
      <c r="J12" s="1">
        <f t="shared" si="4"/>
        <v>416</v>
      </c>
      <c r="K12" s="1">
        <f t="shared" si="5"/>
        <v>142</v>
      </c>
    </row>
    <row r="13" spans="1:11" ht="15">
      <c r="A13" s="1" t="s">
        <v>77</v>
      </c>
      <c r="B13" s="1">
        <f>MIN(80,ROUNDUP(10*2.5,0))</f>
        <v>25</v>
      </c>
      <c r="C13" s="1">
        <f>ROUND(INDEX('1_角色属性成长'!$B$4:$B$83,B13)*0.28*(1+0.015*10),0)</f>
        <v>1164</v>
      </c>
      <c r="D13" s="1">
        <f>ROUND(INDEX('1_角色属性成长'!$C$4:$C$83,B13)*0.55*(1+0.012*10),0)</f>
        <v>177</v>
      </c>
      <c r="E13" s="1">
        <f>ROUND(INDEX('1_角色属性成长'!$D$4:$D$83,B13)*0.45,0)</f>
        <v>63</v>
      </c>
      <c r="F13" s="1">
        <f t="shared" si="0"/>
        <v>3259</v>
      </c>
      <c r="G13" s="1">
        <f t="shared" si="1"/>
        <v>301</v>
      </c>
      <c r="H13" s="1">
        <f t="shared" si="2"/>
        <v>113</v>
      </c>
      <c r="I13" s="1">
        <f t="shared" si="3"/>
        <v>11058</v>
      </c>
      <c r="J13" s="1">
        <f t="shared" si="4"/>
        <v>460</v>
      </c>
      <c r="K13" s="1">
        <f t="shared" si="5"/>
        <v>151</v>
      </c>
    </row>
    <row r="14" spans="1:11" ht="15">
      <c r="A14" s="1" t="s">
        <v>78</v>
      </c>
      <c r="B14" s="1">
        <f>MIN(80,ROUNDUP(11*2.5,0))</f>
        <v>28</v>
      </c>
      <c r="C14" s="1">
        <f>ROUND(INDEX('1_角色属性成长'!$B$4:$B$83,B14)*0.28*(1+0.015*11),0)</f>
        <v>1384</v>
      </c>
      <c r="D14" s="1">
        <f>ROUND(INDEX('1_角色属性成长'!$C$4:$C$83,B14)*0.55*(1+0.012*11),0)</f>
        <v>204</v>
      </c>
      <c r="E14" s="1">
        <f>ROUND(INDEX('1_角色属性成长'!$D$4:$D$83,B14)*0.45,0)</f>
        <v>72</v>
      </c>
      <c r="F14" s="1">
        <f t="shared" si="0"/>
        <v>3875</v>
      </c>
      <c r="G14" s="1">
        <f t="shared" si="1"/>
        <v>347</v>
      </c>
      <c r="H14" s="1">
        <f t="shared" si="2"/>
        <v>130</v>
      </c>
      <c r="I14" s="1">
        <f t="shared" si="3"/>
        <v>13148</v>
      </c>
      <c r="J14" s="1">
        <f t="shared" si="4"/>
        <v>530</v>
      </c>
      <c r="K14" s="1">
        <f t="shared" si="5"/>
        <v>173</v>
      </c>
    </row>
    <row r="15" spans="1:11" ht="15">
      <c r="A15" s="1" t="s">
        <v>79</v>
      </c>
      <c r="B15" s="1">
        <f>MIN(80,ROUNDUP(12*2.5,0))</f>
        <v>30</v>
      </c>
      <c r="C15" s="1">
        <f>ROUND(INDEX('1_角色属性成长'!$B$4:$B$83,B15)*0.28*(1+0.015*12),0)</f>
        <v>1561</v>
      </c>
      <c r="D15" s="1">
        <f>ROUND(INDEX('1_角色属性成长'!$C$4:$C$83,B15)*0.55*(1+0.012*12),0)</f>
        <v>225</v>
      </c>
      <c r="E15" s="1">
        <f>ROUND(INDEX('1_角色属性成长'!$D$4:$D$83,B15)*0.45,0)</f>
        <v>77</v>
      </c>
      <c r="F15" s="1">
        <f t="shared" si="0"/>
        <v>4371</v>
      </c>
      <c r="G15" s="1">
        <f t="shared" si="1"/>
        <v>383</v>
      </c>
      <c r="H15" s="1">
        <f t="shared" si="2"/>
        <v>139</v>
      </c>
      <c r="I15" s="1">
        <f t="shared" si="3"/>
        <v>14830</v>
      </c>
      <c r="J15" s="1">
        <f t="shared" si="4"/>
        <v>585</v>
      </c>
      <c r="K15" s="1">
        <f t="shared" si="5"/>
        <v>185</v>
      </c>
    </row>
    <row r="16" spans="1:11" ht="15">
      <c r="A16" s="1" t="s">
        <v>80</v>
      </c>
      <c r="B16" s="1">
        <f>MIN(80,ROUNDUP(13*2.5,0))</f>
        <v>33</v>
      </c>
      <c r="C16" s="1">
        <f>ROUND(INDEX('1_角色属性成长'!$B$4:$B$83,B16)*0.28*(1+0.015*13),0)</f>
        <v>1856</v>
      </c>
      <c r="D16" s="1">
        <f>ROUND(INDEX('1_角色属性成长'!$C$4:$C$83,B16)*0.55*(1+0.012*13),0)</f>
        <v>260</v>
      </c>
      <c r="E16" s="1">
        <f>ROUND(INDEX('1_角色属性成长'!$D$4:$D$83,B16)*0.45,0)</f>
        <v>87</v>
      </c>
      <c r="F16" s="1">
        <f t="shared" si="0"/>
        <v>5197</v>
      </c>
      <c r="G16" s="1">
        <f t="shared" si="1"/>
        <v>442</v>
      </c>
      <c r="H16" s="1">
        <f t="shared" si="2"/>
        <v>157</v>
      </c>
      <c r="I16" s="1">
        <f t="shared" si="3"/>
        <v>17632</v>
      </c>
      <c r="J16" s="1">
        <f t="shared" si="4"/>
        <v>676</v>
      </c>
      <c r="K16" s="1">
        <f t="shared" si="5"/>
        <v>209</v>
      </c>
    </row>
    <row r="17" spans="1:11" ht="15">
      <c r="A17" s="1" t="s">
        <v>81</v>
      </c>
      <c r="B17" s="1">
        <f>MIN(80,ROUNDUP(14*2.5,0))</f>
        <v>35</v>
      </c>
      <c r="C17" s="1">
        <f>ROUND(INDEX('1_角色属性成长'!$B$4:$B$83,B17)*0.28*(1+0.015*14),0)</f>
        <v>2092</v>
      </c>
      <c r="D17" s="1">
        <f>ROUND(INDEX('1_角色属性成长'!$C$4:$C$83,B17)*0.55*(1+0.012*14),0)</f>
        <v>287</v>
      </c>
      <c r="E17" s="1">
        <f>ROUND(INDEX('1_角色属性成长'!$D$4:$D$83,B17)*0.45,0)</f>
        <v>94</v>
      </c>
      <c r="F17" s="1">
        <f t="shared" si="0"/>
        <v>5858</v>
      </c>
      <c r="G17" s="1">
        <f t="shared" si="1"/>
        <v>488</v>
      </c>
      <c r="H17" s="1">
        <f t="shared" si="2"/>
        <v>169</v>
      </c>
      <c r="I17" s="1">
        <f t="shared" si="3"/>
        <v>19874</v>
      </c>
      <c r="J17" s="1">
        <f t="shared" si="4"/>
        <v>746</v>
      </c>
      <c r="K17" s="1">
        <f t="shared" si="5"/>
        <v>226</v>
      </c>
    </row>
    <row r="18" spans="1:11" ht="15">
      <c r="A18" s="1" t="s">
        <v>82</v>
      </c>
      <c r="B18" s="1">
        <f>MIN(80,ROUNDUP(15*2.5,0))</f>
        <v>38</v>
      </c>
      <c r="C18" s="1">
        <f>ROUND(INDEX('1_角色属性成长'!$B$4:$B$83,B18)*0.28*(1+0.015*15),0)</f>
        <v>2487</v>
      </c>
      <c r="D18" s="1">
        <f>ROUND(INDEX('1_角色属性成长'!$C$4:$C$83,B18)*0.55*(1+0.012*15),0)</f>
        <v>331</v>
      </c>
      <c r="E18" s="1">
        <f>ROUND(INDEX('1_角色属性成长'!$D$4:$D$83,B18)*0.45,0)</f>
        <v>106</v>
      </c>
      <c r="F18" s="1">
        <f t="shared" si="0"/>
        <v>6964</v>
      </c>
      <c r="G18" s="1">
        <f t="shared" si="1"/>
        <v>563</v>
      </c>
      <c r="H18" s="1">
        <f t="shared" si="2"/>
        <v>191</v>
      </c>
      <c r="I18" s="1">
        <f t="shared" si="3"/>
        <v>23627</v>
      </c>
      <c r="J18" s="1">
        <f t="shared" si="4"/>
        <v>861</v>
      </c>
      <c r="K18" s="1">
        <f t="shared" si="5"/>
        <v>254</v>
      </c>
    </row>
    <row r="19" spans="1:11" ht="15">
      <c r="A19" s="1" t="s">
        <v>83</v>
      </c>
      <c r="B19" s="1">
        <f>MIN(80,ROUNDUP(16*2.5,0))</f>
        <v>40</v>
      </c>
      <c r="C19" s="1">
        <f>ROUND(INDEX('1_角色属性成长'!$B$4:$B$83,B19)*0.28*(1+0.015*16),0)</f>
        <v>2802</v>
      </c>
      <c r="D19" s="1">
        <f>ROUND(INDEX('1_角色属性成长'!$C$4:$C$83,B19)*0.55*(1+0.012*16),0)</f>
        <v>365</v>
      </c>
      <c r="E19" s="1">
        <f>ROUND(INDEX('1_角色属性成长'!$D$4:$D$83,B19)*0.45,0)</f>
        <v>114</v>
      </c>
      <c r="F19" s="1">
        <f t="shared" si="0"/>
        <v>7846</v>
      </c>
      <c r="G19" s="1">
        <f t="shared" si="1"/>
        <v>621</v>
      </c>
      <c r="H19" s="1">
        <f t="shared" si="2"/>
        <v>205</v>
      </c>
      <c r="I19" s="1">
        <f t="shared" si="3"/>
        <v>26619</v>
      </c>
      <c r="J19" s="1">
        <f t="shared" si="4"/>
        <v>949</v>
      </c>
      <c r="K19" s="1">
        <f t="shared" si="5"/>
        <v>274</v>
      </c>
    </row>
    <row r="20" spans="1:11" ht="15">
      <c r="A20" s="1" t="s">
        <v>84</v>
      </c>
      <c r="B20" s="1">
        <f>MIN(80,ROUNDUP(17*2.5,0))</f>
        <v>43</v>
      </c>
      <c r="C20" s="1">
        <f>ROUND(INDEX('1_角色属性成长'!$B$4:$B$83,B20)*0.28*(1+0.015*17),0)</f>
        <v>3330</v>
      </c>
      <c r="D20" s="1">
        <f>ROUND(INDEX('1_角色属性成长'!$C$4:$C$83,B20)*0.55*(1+0.012*17),0)</f>
        <v>420</v>
      </c>
      <c r="E20" s="1">
        <f>ROUND(INDEX('1_角色属性成长'!$D$4:$D$83,B20)*0.45,0)</f>
        <v>129</v>
      </c>
      <c r="F20" s="1">
        <f t="shared" si="0"/>
        <v>9324</v>
      </c>
      <c r="G20" s="1">
        <f t="shared" si="1"/>
        <v>714</v>
      </c>
      <c r="H20" s="1">
        <f t="shared" si="2"/>
        <v>232</v>
      </c>
      <c r="I20" s="1">
        <f t="shared" si="3"/>
        <v>31635</v>
      </c>
      <c r="J20" s="1">
        <f t="shared" si="4"/>
        <v>1092</v>
      </c>
      <c r="K20" s="1">
        <f t="shared" si="5"/>
        <v>310</v>
      </c>
    </row>
    <row r="21" spans="1:11" ht="15">
      <c r="A21" s="1" t="s">
        <v>85</v>
      </c>
      <c r="B21" s="1">
        <f>MIN(80,ROUNDUP(18*2.5,0))</f>
        <v>45</v>
      </c>
      <c r="C21" s="1">
        <f>ROUND(INDEX('1_角色属性成长'!$B$4:$B$83,B21)*0.28*(1+0.015*18),0)</f>
        <v>3750</v>
      </c>
      <c r="D21" s="1">
        <f>ROUND(INDEX('1_角色属性成长'!$C$4:$C$83,B21)*0.55*(1+0.012*18),0)</f>
        <v>464</v>
      </c>
      <c r="E21" s="1">
        <f>ROUND(INDEX('1_角色属性成长'!$D$4:$D$83,B21)*0.45,0)</f>
        <v>139</v>
      </c>
      <c r="F21" s="1">
        <f t="shared" si="0"/>
        <v>10500</v>
      </c>
      <c r="G21" s="1">
        <f t="shared" si="1"/>
        <v>789</v>
      </c>
      <c r="H21" s="1">
        <f t="shared" si="2"/>
        <v>250</v>
      </c>
      <c r="I21" s="1">
        <f t="shared" si="3"/>
        <v>35625</v>
      </c>
      <c r="J21" s="1">
        <f t="shared" si="4"/>
        <v>1206</v>
      </c>
      <c r="K21" s="1">
        <f t="shared" si="5"/>
        <v>334</v>
      </c>
    </row>
    <row r="22" spans="1:11" ht="15">
      <c r="A22" s="1" t="s">
        <v>86</v>
      </c>
      <c r="B22" s="1">
        <f>MIN(80,ROUNDUP(19*2.5,0))</f>
        <v>48</v>
      </c>
      <c r="C22" s="1">
        <f>ROUND(INDEX('1_角色属性成长'!$B$4:$B$83,B22)*0.28*(1+0.015*19),0)</f>
        <v>4456</v>
      </c>
      <c r="D22" s="1">
        <f>ROUND(INDEX('1_角色属性成长'!$C$4:$C$83,B22)*0.55*(1+0.012*19),0)</f>
        <v>535</v>
      </c>
      <c r="E22" s="1">
        <f>ROUND(INDEX('1_角色属性成长'!$D$4:$D$83,B22)*0.45,0)</f>
        <v>156</v>
      </c>
      <c r="F22" s="1">
        <f t="shared" si="0"/>
        <v>12477</v>
      </c>
      <c r="G22" s="1">
        <f t="shared" si="1"/>
        <v>910</v>
      </c>
      <c r="H22" s="1">
        <f t="shared" si="2"/>
        <v>281</v>
      </c>
      <c r="I22" s="1">
        <f t="shared" si="3"/>
        <v>42332</v>
      </c>
      <c r="J22" s="1">
        <f t="shared" si="4"/>
        <v>1391</v>
      </c>
      <c r="K22" s="1">
        <f t="shared" si="5"/>
        <v>374</v>
      </c>
    </row>
    <row r="23" spans="1:11" ht="15">
      <c r="A23" s="1" t="s">
        <v>87</v>
      </c>
      <c r="B23" s="1">
        <f>MIN(80,ROUNDUP(20*2.5,0))</f>
        <v>50</v>
      </c>
      <c r="C23" s="1">
        <f>ROUND(INDEX('1_角色属性成长'!$B$4:$B$83,B23)*0.28*(1+0.015*20),0)</f>
        <v>5017</v>
      </c>
      <c r="D23" s="1">
        <f>ROUND(INDEX('1_角色属性成长'!$C$4:$C$83,B23)*0.55*(1+0.012*20),0)</f>
        <v>589</v>
      </c>
      <c r="E23" s="1">
        <f>ROUND(INDEX('1_角色属性成长'!$D$4:$D$83,B23)*0.45,0)</f>
        <v>169</v>
      </c>
      <c r="F23" s="1">
        <f t="shared" si="0"/>
        <v>14048</v>
      </c>
      <c r="G23" s="1">
        <f t="shared" si="1"/>
        <v>1001</v>
      </c>
      <c r="H23" s="1">
        <f t="shared" si="2"/>
        <v>304</v>
      </c>
      <c r="I23" s="1">
        <f t="shared" si="3"/>
        <v>47662</v>
      </c>
      <c r="J23" s="1">
        <f t="shared" si="4"/>
        <v>1531</v>
      </c>
      <c r="K23" s="1">
        <f t="shared" si="5"/>
        <v>406</v>
      </c>
    </row>
    <row r="24" spans="1:11" ht="15">
      <c r="A24" s="1" t="s">
        <v>88</v>
      </c>
      <c r="B24" s="1">
        <f>MIN(80,ROUNDUP(21*2.5,0))</f>
        <v>53</v>
      </c>
      <c r="C24" s="1">
        <f>ROUND(INDEX('1_角色属性成长'!$B$4:$B$83,B24)*0.28*(1+0.015*21),0)</f>
        <v>5960</v>
      </c>
      <c r="D24" s="1">
        <f>ROUND(INDEX('1_角色属性成长'!$C$4:$C$83,B24)*0.55*(1+0.012*21),0)</f>
        <v>679</v>
      </c>
      <c r="E24" s="1">
        <f>ROUND(INDEX('1_角色属性成长'!$D$4:$D$83,B24)*0.45,0)</f>
        <v>190</v>
      </c>
      <c r="F24" s="1">
        <f t="shared" si="0"/>
        <v>16688</v>
      </c>
      <c r="G24" s="1">
        <f t="shared" si="1"/>
        <v>1154</v>
      </c>
      <c r="H24" s="1">
        <f t="shared" si="2"/>
        <v>342</v>
      </c>
      <c r="I24" s="1">
        <f t="shared" si="3"/>
        <v>56620</v>
      </c>
      <c r="J24" s="1">
        <f t="shared" si="4"/>
        <v>1765</v>
      </c>
      <c r="K24" s="1">
        <f t="shared" si="5"/>
        <v>456</v>
      </c>
    </row>
    <row r="25" spans="1:11" ht="15">
      <c r="A25" s="1" t="s">
        <v>89</v>
      </c>
      <c r="B25" s="1">
        <f>MIN(80,ROUNDUP(22*2.5,0))</f>
        <v>55</v>
      </c>
      <c r="C25" s="1">
        <f>ROUND(INDEX('1_角色属性成长'!$B$4:$B$83,B25)*0.28*(1+0.015*22),0)</f>
        <v>6709</v>
      </c>
      <c r="D25" s="1">
        <f>ROUND(INDEX('1_角色属性成长'!$C$4:$C$83,B25)*0.55*(1+0.012*22),0)</f>
        <v>749</v>
      </c>
      <c r="E25" s="1">
        <f>ROUND(INDEX('1_角色属性成长'!$D$4:$D$83,B25)*0.45,0)</f>
        <v>206</v>
      </c>
      <c r="F25" s="1">
        <f t="shared" si="0"/>
        <v>18785</v>
      </c>
      <c r="G25" s="1">
        <f t="shared" si="1"/>
        <v>1273</v>
      </c>
      <c r="H25" s="1">
        <f t="shared" si="2"/>
        <v>371</v>
      </c>
      <c r="I25" s="1">
        <f t="shared" si="3"/>
        <v>63736</v>
      </c>
      <c r="J25" s="1">
        <f t="shared" si="4"/>
        <v>1947</v>
      </c>
      <c r="K25" s="1">
        <f t="shared" si="5"/>
        <v>494</v>
      </c>
    </row>
    <row r="26" spans="1:11" ht="15">
      <c r="A26" s="1" t="s">
        <v>90</v>
      </c>
      <c r="B26" s="1">
        <f>MIN(80,ROUNDUP(23*2.5,0))</f>
        <v>58</v>
      </c>
      <c r="C26" s="1">
        <f>ROUND(INDEX('1_角色属性成长'!$B$4:$B$83,B26)*0.28*(1+0.015*23),0)</f>
        <v>7967</v>
      </c>
      <c r="D26" s="1">
        <f>ROUND(INDEX('1_角色属性成长'!$C$4:$C$83,B26)*0.55*(1+0.012*23),0)</f>
        <v>863</v>
      </c>
      <c r="E26" s="1">
        <f>ROUND(INDEX('1_角色属性成长'!$D$4:$D$83,B26)*0.45,0)</f>
        <v>231</v>
      </c>
      <c r="F26" s="1">
        <f t="shared" si="0"/>
        <v>22308</v>
      </c>
      <c r="G26" s="1">
        <f t="shared" si="1"/>
        <v>1467</v>
      </c>
      <c r="H26" s="1">
        <f t="shared" si="2"/>
        <v>416</v>
      </c>
      <c r="I26" s="1">
        <f t="shared" si="3"/>
        <v>75687</v>
      </c>
      <c r="J26" s="1">
        <f t="shared" si="4"/>
        <v>2244</v>
      </c>
      <c r="K26" s="1">
        <f t="shared" si="5"/>
        <v>554</v>
      </c>
    </row>
    <row r="27" spans="1:11" ht="15">
      <c r="A27" s="1" t="s">
        <v>91</v>
      </c>
      <c r="B27" s="1">
        <f>MIN(80,ROUNDUP(24*2.5,0))</f>
        <v>60</v>
      </c>
      <c r="C27" s="1">
        <f>ROUND(INDEX('1_角色属性成长'!$B$4:$B$83,B27)*0.28*(1+0.015*24),0)</f>
        <v>8966</v>
      </c>
      <c r="D27" s="1">
        <f>ROUND(INDEX('1_角色属性成长'!$C$4:$C$83,B27)*0.55*(1+0.012*24),0)</f>
        <v>951</v>
      </c>
      <c r="E27" s="1">
        <f>ROUND(INDEX('1_角色属性成长'!$D$4:$D$83,B27)*0.45,0)</f>
        <v>250</v>
      </c>
      <c r="F27" s="1">
        <f t="shared" si="0"/>
        <v>25105</v>
      </c>
      <c r="G27" s="1">
        <f t="shared" si="1"/>
        <v>1617</v>
      </c>
      <c r="H27" s="1">
        <f t="shared" si="2"/>
        <v>450</v>
      </c>
      <c r="I27" s="1">
        <f t="shared" si="3"/>
        <v>85177</v>
      </c>
      <c r="J27" s="1">
        <f t="shared" si="4"/>
        <v>2473</v>
      </c>
      <c r="K27" s="1">
        <f t="shared" si="5"/>
        <v>600</v>
      </c>
    </row>
    <row r="28" spans="1:11" ht="15">
      <c r="A28" s="1" t="s">
        <v>92</v>
      </c>
      <c r="B28" s="1">
        <f>MIN(80,ROUNDUP(25*2.5,0))</f>
        <v>63</v>
      </c>
      <c r="C28" s="1">
        <f>ROUND(INDEX('1_角色属性成长'!$B$4:$B$83,B28)*0.28*(1+0.015*25),0)</f>
        <v>10644</v>
      </c>
      <c r="D28" s="1">
        <f>ROUND(INDEX('1_角色属性成长'!$C$4:$C$83,B28)*0.55*(1+0.012*25),0)</f>
        <v>1095</v>
      </c>
      <c r="E28" s="1">
        <f>ROUND(INDEX('1_角色属性成长'!$D$4:$D$83,B28)*0.45,0)</f>
        <v>282</v>
      </c>
      <c r="F28" s="1">
        <f t="shared" si="0"/>
        <v>29803</v>
      </c>
      <c r="G28" s="1">
        <f t="shared" si="1"/>
        <v>1862</v>
      </c>
      <c r="H28" s="1">
        <f t="shared" si="2"/>
        <v>508</v>
      </c>
      <c r="I28" s="1">
        <f t="shared" si="3"/>
        <v>101118</v>
      </c>
      <c r="J28" s="1">
        <f t="shared" si="4"/>
        <v>2847</v>
      </c>
      <c r="K28" s="1">
        <f t="shared" si="5"/>
        <v>677</v>
      </c>
    </row>
    <row r="29" spans="1:11" ht="15">
      <c r="A29" s="1" t="s">
        <v>93</v>
      </c>
      <c r="B29" s="1">
        <f>MIN(80,ROUNDUP(26*2.5,0))</f>
        <v>65</v>
      </c>
      <c r="C29" s="1">
        <f>ROUND(INDEX('1_角色属性成长'!$B$4:$B$83,B29)*0.28*(1+0.015*26),0)</f>
        <v>11976</v>
      </c>
      <c r="D29" s="1">
        <f>ROUND(INDEX('1_角色属性成长'!$C$4:$C$83,B29)*0.55*(1+0.012*26),0)</f>
        <v>1207</v>
      </c>
      <c r="E29" s="1">
        <f>ROUND(INDEX('1_角色属性成长'!$D$4:$D$83,B29)*0.45,0)</f>
        <v>305</v>
      </c>
      <c r="F29" s="1">
        <f t="shared" si="0"/>
        <v>33533</v>
      </c>
      <c r="G29" s="1">
        <f t="shared" si="1"/>
        <v>2052</v>
      </c>
      <c r="H29" s="1">
        <f t="shared" si="2"/>
        <v>549</v>
      </c>
      <c r="I29" s="1">
        <f t="shared" si="3"/>
        <v>113772</v>
      </c>
      <c r="J29" s="1">
        <f t="shared" si="4"/>
        <v>3138</v>
      </c>
      <c r="K29" s="1">
        <f t="shared" si="5"/>
        <v>732</v>
      </c>
    </row>
    <row r="30" spans="1:11" ht="15">
      <c r="A30" s="1" t="s">
        <v>94</v>
      </c>
      <c r="B30" s="1">
        <f>MIN(80,ROUNDUP(27*2.5,0))</f>
        <v>68</v>
      </c>
      <c r="C30" s="1">
        <f>ROUND(INDEX('1_角色属性成长'!$B$4:$B$83,B30)*0.28*(1+0.015*27),0)</f>
        <v>14215</v>
      </c>
      <c r="D30" s="1">
        <f>ROUND(INDEX('1_角色属性成长'!$C$4:$C$83,B30)*0.55*(1+0.012*27),0)</f>
        <v>1390</v>
      </c>
      <c r="E30" s="1">
        <f>ROUND(INDEX('1_角色属性成长'!$D$4:$D$83,B30)*0.45,0)</f>
        <v>342</v>
      </c>
      <c r="F30" s="1">
        <f t="shared" si="0"/>
        <v>39802</v>
      </c>
      <c r="G30" s="1">
        <f t="shared" si="1"/>
        <v>2363</v>
      </c>
      <c r="H30" s="1">
        <f t="shared" si="2"/>
        <v>616</v>
      </c>
      <c r="I30" s="1">
        <f t="shared" si="3"/>
        <v>135043</v>
      </c>
      <c r="J30" s="1">
        <f t="shared" si="4"/>
        <v>3614</v>
      </c>
      <c r="K30" s="1">
        <f t="shared" si="5"/>
        <v>821</v>
      </c>
    </row>
    <row r="31" spans="1:11" ht="15">
      <c r="A31" s="1" t="s">
        <v>95</v>
      </c>
      <c r="B31" s="1">
        <f>MIN(80,ROUNDUP(28*2.5,0))</f>
        <v>70</v>
      </c>
      <c r="C31" s="1">
        <f>ROUND(INDEX('1_角色属性成长'!$B$4:$B$83,B31)*0.28*(1+0.015*28),0)</f>
        <v>15991</v>
      </c>
      <c r="D31" s="1">
        <f>ROUND(INDEX('1_角色属性成长'!$C$4:$C$83,B31)*0.55*(1+0.012*28),0)</f>
        <v>1532</v>
      </c>
      <c r="E31" s="1">
        <f>ROUND(INDEX('1_角色属性成长'!$D$4:$D$83,B31)*0.45,0)</f>
        <v>370</v>
      </c>
      <c r="F31" s="1">
        <f t="shared" si="0"/>
        <v>44775</v>
      </c>
      <c r="G31" s="1">
        <f t="shared" si="1"/>
        <v>2604</v>
      </c>
      <c r="H31" s="1">
        <f t="shared" si="2"/>
        <v>666</v>
      </c>
      <c r="I31" s="1">
        <f t="shared" si="3"/>
        <v>151915</v>
      </c>
      <c r="J31" s="1">
        <f t="shared" si="4"/>
        <v>3983</v>
      </c>
      <c r="K31" s="1">
        <f t="shared" si="5"/>
        <v>888</v>
      </c>
    </row>
    <row r="32" spans="1:11" ht="15">
      <c r="A32" s="1" t="s">
        <v>96</v>
      </c>
      <c r="B32" s="1">
        <f>MIN(80,ROUNDUP(29*2.5,0))</f>
        <v>73</v>
      </c>
      <c r="C32" s="1">
        <f>ROUND(INDEX('1_角色属性成长'!$B$4:$B$83,B32)*0.28*(1+0.015*29),0)</f>
        <v>18975</v>
      </c>
      <c r="D32" s="1">
        <f>ROUND(INDEX('1_角色属性成长'!$C$4:$C$83,B32)*0.55*(1+0.012*29),0)</f>
        <v>1764</v>
      </c>
      <c r="E32" s="1">
        <f>ROUND(INDEX('1_角色属性成长'!$D$4:$D$83,B32)*0.45,0)</f>
        <v>417</v>
      </c>
      <c r="F32" s="1">
        <f t="shared" si="0"/>
        <v>53130</v>
      </c>
      <c r="G32" s="1">
        <f t="shared" si="1"/>
        <v>2999</v>
      </c>
      <c r="H32" s="1">
        <f t="shared" si="2"/>
        <v>751</v>
      </c>
      <c r="I32" s="1">
        <f t="shared" si="3"/>
        <v>180263</v>
      </c>
      <c r="J32" s="1">
        <f t="shared" si="4"/>
        <v>4586</v>
      </c>
      <c r="K32" s="1">
        <f t="shared" si="5"/>
        <v>1001</v>
      </c>
    </row>
    <row r="33" spans="1:11" ht="15">
      <c r="A33" s="1" t="s">
        <v>97</v>
      </c>
      <c r="B33" s="1">
        <f>MIN(80,ROUNDUP(30*2.5,0))</f>
        <v>75</v>
      </c>
      <c r="C33" s="1">
        <f>ROUND(INDEX('1_角色属性成长'!$B$4:$B$83,B33)*0.28*(1+0.015*30),0)</f>
        <v>21341</v>
      </c>
      <c r="D33" s="1">
        <f>ROUND(INDEX('1_角色属性成长'!$C$4:$C$83,B33)*0.55*(1+0.012*30),0)</f>
        <v>1943</v>
      </c>
      <c r="E33" s="1">
        <f>ROUND(INDEX('1_角色属性成长'!$D$4:$D$83,B33)*0.45,0)</f>
        <v>451</v>
      </c>
      <c r="F33" s="1">
        <f t="shared" si="0"/>
        <v>59755</v>
      </c>
      <c r="G33" s="1">
        <f t="shared" si="1"/>
        <v>3303</v>
      </c>
      <c r="H33" s="1">
        <f t="shared" si="2"/>
        <v>812</v>
      </c>
      <c r="I33" s="1">
        <f t="shared" si="3"/>
        <v>202740</v>
      </c>
      <c r="J33" s="1">
        <f t="shared" si="4"/>
        <v>5052</v>
      </c>
      <c r="K33" s="1">
        <f t="shared" si="5"/>
        <v>1082</v>
      </c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K1"/>
  </mergeCells>
  <phoneticPr fontId="4" type="noConversion"/>
  <conditionalFormatting sqref="I4:I33">
    <cfRule type="dataBar" priority="1">
      <dataBar>
        <cfvo type="min"/>
        <cfvo type="max"/>
        <color rgb="FFC00000"/>
      </dataBar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{278CD61E-B903-AEAB-C86C-76BB90A351D3}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8CD61E-B903-AEAB-C86C-76BB90A351D3}">
            <x14:dataBar>
              <x14:cfvo type="min"/>
              <x14:cfvo type="max"/>
              <x14:negativeFillColor auto="1"/>
              <x14:axisColor auto="1"/>
            </x14:dataBar>
          </x14:cfRule>
          <xm:sqref>I4:I33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workbookViewId="0">
      <selection sqref="A1:H1"/>
    </sheetView>
  </sheetViews>
  <sheetFormatPr defaultRowHeight="13.8"/>
  <cols>
    <col min="1" max="11" width="14" customWidth="1"/>
  </cols>
  <sheetData>
    <row r="1" spans="1:11" ht="15.6">
      <c r="A1" s="9" t="s">
        <v>98</v>
      </c>
      <c r="B1" s="9"/>
      <c r="C1" s="9"/>
      <c r="D1" s="9"/>
      <c r="E1" s="9"/>
      <c r="F1" s="9"/>
      <c r="G1" s="9"/>
      <c r="H1" s="9"/>
      <c r="I1" s="1"/>
      <c r="J1" s="1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11" t="s">
        <v>99</v>
      </c>
      <c r="B3" s="11"/>
      <c r="C3" s="11"/>
      <c r="D3" s="11"/>
      <c r="E3" s="11"/>
      <c r="F3" s="11"/>
      <c r="G3" s="11"/>
      <c r="H3" s="11"/>
      <c r="I3" s="1"/>
      <c r="J3" s="1"/>
      <c r="K3" s="1"/>
    </row>
    <row r="4" spans="1:1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6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1"/>
      <c r="J5" s="1"/>
      <c r="K5" s="1"/>
    </row>
    <row r="6" spans="1:11" ht="15">
      <c r="A6" s="1">
        <v>10</v>
      </c>
      <c r="B6" s="1">
        <f>INDEX('1_角色属性成长'!$C$4:$C$83,A6)</f>
        <v>149</v>
      </c>
      <c r="C6" s="1" t="s">
        <v>108</v>
      </c>
      <c r="D6" s="1">
        <f>IF(C6="普通怪",INDEX('3_敌人属性设计'!$E$4:$E$33,MIN(30,ROUNDUP(A6/2.5,0))),IF(C6="精英怪",INDEX('3_敌人属性设计'!$H$4:$H$33,MIN(30,ROUNDUP(A6/2.5,0))),INDEX('3_敌人属性设计'!$K$4:$K$33,MIN(30,ROUNDUP(A6/2.5,0)))))</f>
        <v>35</v>
      </c>
      <c r="E6" s="1">
        <v>1.2</v>
      </c>
      <c r="F6" s="1">
        <v>1</v>
      </c>
      <c r="G6" s="1">
        <f>ROUND(MAX(B6*E6*F6-D6,B6*'0_设计说明'!$B$26),0)</f>
        <v>144</v>
      </c>
      <c r="H6" s="1">
        <f>ROUNDUP(IF(C6="普通怪",INDEX('3_敌人属性设计'!$C$4:$C$33,MIN(30,ROUNDUP(A6/2.5,0))),IF(C6="精英怪",INDEX('3_敌人属性设计'!$F$4:$F$33,MIN(30,ROUNDUP(A6/2.5,0))),INDEX('3_敌人属性设计'!$I$4:$I$33,MIN(30,ROUNDUP(A6/2.5,0)))))/G6,0)</f>
        <v>4</v>
      </c>
      <c r="I6" s="1"/>
      <c r="J6" s="1"/>
      <c r="K6" s="1"/>
    </row>
    <row r="7" spans="1:11" ht="15">
      <c r="A7" s="1">
        <v>10</v>
      </c>
      <c r="B7" s="1">
        <f>INDEX('1_角色属性成长'!$C$4:$C$83,A7)</f>
        <v>149</v>
      </c>
      <c r="C7" s="1" t="s">
        <v>109</v>
      </c>
      <c r="D7" s="1">
        <f>IF(C7="普通怪",INDEX('3_敌人属性设计'!$E$4:$E$33,MIN(30,ROUNDUP(A7/2.5,0))),IF(C7="精英怪",INDEX('3_敌人属性设计'!$H$4:$H$33,MIN(30,ROUNDUP(A7/2.5,0))),INDEX('3_敌人属性设计'!$K$4:$K$33,MIN(30,ROUNDUP(A7/2.5,0)))))</f>
        <v>63</v>
      </c>
      <c r="E7" s="1">
        <v>1.2</v>
      </c>
      <c r="F7" s="1">
        <v>1</v>
      </c>
      <c r="G7" s="1">
        <f>ROUND(MAX(B7*E7*F7-D7,B7*'0_设计说明'!$B$26),0)</f>
        <v>116</v>
      </c>
      <c r="H7" s="1">
        <f>ROUNDUP(IF(C7="普通怪",INDEX('3_敌人属性设计'!$C$4:$C$33,MIN(30,ROUNDUP(A7/2.5,0))),IF(C7="精英怪",INDEX('3_敌人属性设计'!$F$4:$F$33,MIN(30,ROUNDUP(A7/2.5,0))),INDEX('3_敌人属性设计'!$I$4:$I$33,MIN(30,ROUNDUP(A7/2.5,0)))))/G7,0)</f>
        <v>12</v>
      </c>
      <c r="I7" s="1"/>
      <c r="J7" s="1"/>
      <c r="K7" s="1"/>
    </row>
    <row r="8" spans="1:11" ht="15">
      <c r="A8" s="1">
        <v>10</v>
      </c>
      <c r="B8" s="1">
        <f>INDEX('1_角色属性成长'!$C$4:$C$83,A8)</f>
        <v>149</v>
      </c>
      <c r="C8" s="1" t="s">
        <v>110</v>
      </c>
      <c r="D8" s="1">
        <f>IF(C8="普通怪",INDEX('3_敌人属性设计'!$E$4:$E$33,MIN(30,ROUNDUP(A8/2.5,0))),IF(C8="精英怪",INDEX('3_敌人属性设计'!$H$4:$H$33,MIN(30,ROUNDUP(A8/2.5,0))),INDEX('3_敌人属性设计'!$K$4:$K$33,MIN(30,ROUNDUP(A8/2.5,0)))))</f>
        <v>84</v>
      </c>
      <c r="E8" s="1">
        <v>1.5</v>
      </c>
      <c r="F8" s="1">
        <v>1</v>
      </c>
      <c r="G8" s="1">
        <f>ROUND(MAX(B8*E8*F8-D8,B8*'0_设计说明'!$B$26),0)</f>
        <v>140</v>
      </c>
      <c r="H8" s="1">
        <f>ROUNDUP(IF(C8="普通怪",INDEX('3_敌人属性设计'!$C$4:$C$33,MIN(30,ROUNDUP(A8/2.5,0))),IF(C8="精英怪",INDEX('3_敌人属性设计'!$F$4:$F$33,MIN(30,ROUNDUP(A8/2.5,0))),INDEX('3_敌人属性设计'!$I$4:$I$33,MIN(30,ROUNDUP(A8/2.5,0)))))/G8,0)</f>
        <v>33</v>
      </c>
      <c r="I8" s="1"/>
      <c r="J8" s="1"/>
      <c r="K8" s="1"/>
    </row>
    <row r="9" spans="1:11" ht="15">
      <c r="A9" s="1">
        <v>20</v>
      </c>
      <c r="B9" s="1">
        <f>INDEX('1_角色属性成长'!$C$4:$C$83,A9)</f>
        <v>231</v>
      </c>
      <c r="C9" s="1" t="s">
        <v>108</v>
      </c>
      <c r="D9" s="1">
        <f>IF(C9="普通怪",INDEX('3_敌人属性设计'!$E$4:$E$33,MIN(30,ROUNDUP(A9/2.5,0))),IF(C9="精英怪",INDEX('3_敌人属性设计'!$H$4:$H$33,MIN(30,ROUNDUP(A9/2.5,0))),INDEX('3_敌人属性设计'!$K$4:$K$33,MIN(30,ROUNDUP(A9/2.5,0)))))</f>
        <v>52</v>
      </c>
      <c r="E9" s="1">
        <v>1.2</v>
      </c>
      <c r="F9" s="1">
        <v>1</v>
      </c>
      <c r="G9" s="1">
        <f>ROUND(MAX(B9*E9*F9-D9,B9*'0_设计说明'!$B$26),0)</f>
        <v>225</v>
      </c>
      <c r="H9" s="1">
        <f>ROUNDUP(IF(C9="普通怪",INDEX('3_敌人属性设计'!$C$4:$C$33,MIN(30,ROUNDUP(A9/2.5,0))),IF(C9="精英怪",INDEX('3_敌人属性设计'!$F$4:$F$33,MIN(30,ROUNDUP(A9/2.5,0))),INDEX('3_敌人属性设计'!$I$4:$I$33,MIN(30,ROUNDUP(A9/2.5,0)))))/G9,0)</f>
        <v>4</v>
      </c>
      <c r="I9" s="1"/>
      <c r="J9" s="1"/>
      <c r="K9" s="1"/>
    </row>
    <row r="10" spans="1:11" ht="15">
      <c r="A10" s="1">
        <v>20</v>
      </c>
      <c r="B10" s="1">
        <f>INDEX('1_角色属性成长'!$C$4:$C$83,A10)</f>
        <v>231</v>
      </c>
      <c r="C10" s="1" t="s">
        <v>109</v>
      </c>
      <c r="D10" s="1">
        <f>IF(C10="普通怪",INDEX('3_敌人属性设计'!$E$4:$E$33,MIN(30,ROUNDUP(A10/2.5,0))),IF(C10="精英怪",INDEX('3_敌人属性设计'!$H$4:$H$33,MIN(30,ROUNDUP(A10/2.5,0))),INDEX('3_敌人属性设计'!$K$4:$K$33,MIN(30,ROUNDUP(A10/2.5,0)))))</f>
        <v>94</v>
      </c>
      <c r="E10" s="1">
        <v>1.2</v>
      </c>
      <c r="F10" s="1">
        <v>1</v>
      </c>
      <c r="G10" s="1">
        <f>ROUND(MAX(B10*E10*F10-D10,B10*'0_设计说明'!$B$26),0)</f>
        <v>183</v>
      </c>
      <c r="H10" s="1">
        <f>ROUNDUP(IF(C10="普通怪",INDEX('3_敌人属性设计'!$C$4:$C$33,MIN(30,ROUNDUP(A10/2.5,0))),IF(C10="精英怪",INDEX('3_敌人属性设计'!$F$4:$F$33,MIN(30,ROUNDUP(A10/2.5,0))),INDEX('3_敌人属性设计'!$I$4:$I$33,MIN(30,ROUNDUP(A10/2.5,0)))))/G10,0)</f>
        <v>14</v>
      </c>
      <c r="I10" s="1"/>
      <c r="J10" s="1"/>
      <c r="K10" s="1"/>
    </row>
    <row r="11" spans="1:11" ht="15">
      <c r="A11" s="1">
        <v>20</v>
      </c>
      <c r="B11" s="1">
        <f>INDEX('1_角色属性成长'!$C$4:$C$83,A11)</f>
        <v>231</v>
      </c>
      <c r="C11" s="1" t="s">
        <v>110</v>
      </c>
      <c r="D11" s="1">
        <f>IF(C11="普通怪",INDEX('3_敌人属性设计'!$E$4:$E$33,MIN(30,ROUNDUP(A11/2.5,0))),IF(C11="精英怪",INDEX('3_敌人属性设计'!$H$4:$H$33,MIN(30,ROUNDUP(A11/2.5,0))),INDEX('3_敌人属性设计'!$K$4:$K$33,MIN(30,ROUNDUP(A11/2.5,0)))))</f>
        <v>125</v>
      </c>
      <c r="E11" s="1">
        <v>1.5</v>
      </c>
      <c r="F11" s="1">
        <v>1</v>
      </c>
      <c r="G11" s="1">
        <f>ROUND(MAX(B11*E11*F11-D11,B11*'0_设计说明'!$B$26),0)</f>
        <v>222</v>
      </c>
      <c r="H11" s="1">
        <f>ROUNDUP(IF(C11="普通怪",INDEX('3_敌人属性设计'!$C$4:$C$33,MIN(30,ROUNDUP(A11/2.5,0))),IF(C11="精英怪",INDEX('3_敌人属性设计'!$F$4:$F$33,MIN(30,ROUNDUP(A11/2.5,0))),INDEX('3_敌人属性设计'!$I$4:$I$33,MIN(30,ROUNDUP(A11/2.5,0)))))/G11,0)</f>
        <v>38</v>
      </c>
      <c r="I11" s="1"/>
      <c r="J11" s="1"/>
      <c r="K11" s="1"/>
    </row>
    <row r="12" spans="1:11" ht="15">
      <c r="A12" s="1">
        <v>30</v>
      </c>
      <c r="B12" s="1">
        <f>INDEX('1_角色属性成长'!$C$4:$C$83,A12)</f>
        <v>358</v>
      </c>
      <c r="C12" s="1" t="s">
        <v>108</v>
      </c>
      <c r="D12" s="1">
        <f>IF(C12="普通怪",INDEX('3_敌人属性设计'!$E$4:$E$33,MIN(30,ROUNDUP(A12/2.5,0))),IF(C12="精英怪",INDEX('3_敌人属性设计'!$H$4:$H$33,MIN(30,ROUNDUP(A12/2.5,0))),INDEX('3_敌人属性设计'!$K$4:$K$33,MIN(30,ROUNDUP(A12/2.5,0)))))</f>
        <v>77</v>
      </c>
      <c r="E12" s="1">
        <v>1.2</v>
      </c>
      <c r="F12" s="1">
        <v>1</v>
      </c>
      <c r="G12" s="1">
        <f>ROUND(MAX(B12*E12*F12-D12,B12*'0_设计说明'!$B$26),0)</f>
        <v>353</v>
      </c>
      <c r="H12" s="1">
        <f>ROUNDUP(IF(C12="普通怪",INDEX('3_敌人属性设计'!$C$4:$C$33,MIN(30,ROUNDUP(A12/2.5,0))),IF(C12="精英怪",INDEX('3_敌人属性设计'!$F$4:$F$33,MIN(30,ROUNDUP(A12/2.5,0))),INDEX('3_敌人属性设计'!$I$4:$I$33,MIN(30,ROUNDUP(A12/2.5,0)))))/G12,0)</f>
        <v>5</v>
      </c>
      <c r="I12" s="1"/>
      <c r="J12" s="1"/>
      <c r="K12" s="1"/>
    </row>
    <row r="13" spans="1:11" ht="15">
      <c r="A13" s="1">
        <v>30</v>
      </c>
      <c r="B13" s="1">
        <f>INDEX('1_角色属性成长'!$C$4:$C$83,A13)</f>
        <v>358</v>
      </c>
      <c r="C13" s="1" t="s">
        <v>109</v>
      </c>
      <c r="D13" s="1">
        <f>IF(C13="普通怪",INDEX('3_敌人属性设计'!$E$4:$E$33,MIN(30,ROUNDUP(A13/2.5,0))),IF(C13="精英怪",INDEX('3_敌人属性设计'!$H$4:$H$33,MIN(30,ROUNDUP(A13/2.5,0))),INDEX('3_敌人属性设计'!$K$4:$K$33,MIN(30,ROUNDUP(A13/2.5,0)))))</f>
        <v>139</v>
      </c>
      <c r="E13" s="1">
        <v>1.2</v>
      </c>
      <c r="F13" s="1">
        <v>1</v>
      </c>
      <c r="G13" s="1">
        <f>ROUND(MAX(B13*E13*F13-D13,B13*'0_设计说明'!$B$26),0)</f>
        <v>291</v>
      </c>
      <c r="H13" s="1">
        <f>ROUNDUP(IF(C13="普通怪",INDEX('3_敌人属性设计'!$C$4:$C$33,MIN(30,ROUNDUP(A13/2.5,0))),IF(C13="精英怪",INDEX('3_敌人属性设计'!$F$4:$F$33,MIN(30,ROUNDUP(A13/2.5,0))),INDEX('3_敌人属性设计'!$I$4:$I$33,MIN(30,ROUNDUP(A13/2.5,0)))))/G13,0)</f>
        <v>16</v>
      </c>
      <c r="I13" s="1"/>
      <c r="J13" s="1"/>
      <c r="K13" s="1"/>
    </row>
    <row r="14" spans="1:11" ht="15">
      <c r="A14" s="1">
        <v>30</v>
      </c>
      <c r="B14" s="1">
        <f>INDEX('1_角色属性成长'!$C$4:$C$83,A14)</f>
        <v>358</v>
      </c>
      <c r="C14" s="1" t="s">
        <v>110</v>
      </c>
      <c r="D14" s="1">
        <f>IF(C14="普通怪",INDEX('3_敌人属性设计'!$E$4:$E$33,MIN(30,ROUNDUP(A14/2.5,0))),IF(C14="精英怪",INDEX('3_敌人属性设计'!$H$4:$H$33,MIN(30,ROUNDUP(A14/2.5,0))),INDEX('3_敌人属性设计'!$K$4:$K$33,MIN(30,ROUNDUP(A14/2.5,0)))))</f>
        <v>185</v>
      </c>
      <c r="E14" s="1">
        <v>1.5</v>
      </c>
      <c r="F14" s="1">
        <v>1</v>
      </c>
      <c r="G14" s="1">
        <f>ROUND(MAX(B14*E14*F14-D14,B14*'0_设计说明'!$B$26),0)</f>
        <v>352</v>
      </c>
      <c r="H14" s="1">
        <f>ROUNDUP(IF(C14="普通怪",INDEX('3_敌人属性设计'!$C$4:$C$33,MIN(30,ROUNDUP(A14/2.5,0))),IF(C14="精英怪",INDEX('3_敌人属性设计'!$F$4:$F$33,MIN(30,ROUNDUP(A14/2.5,0))),INDEX('3_敌人属性设计'!$I$4:$I$33,MIN(30,ROUNDUP(A14/2.5,0)))))/G14,0)</f>
        <v>43</v>
      </c>
      <c r="I14" s="1"/>
      <c r="J14" s="1"/>
      <c r="K14" s="1"/>
    </row>
    <row r="15" spans="1:11" ht="15">
      <c r="A15" s="1">
        <v>40</v>
      </c>
      <c r="B15" s="1">
        <f>INDEX('1_角色属性成长'!$C$4:$C$83,A15)</f>
        <v>557</v>
      </c>
      <c r="C15" s="1" t="s">
        <v>108</v>
      </c>
      <c r="D15" s="1">
        <f>IF(C15="普通怪",INDEX('3_敌人属性设计'!$E$4:$E$33,MIN(30,ROUNDUP(A15/2.5,0))),IF(C15="精英怪",INDEX('3_敌人属性设计'!$H$4:$H$33,MIN(30,ROUNDUP(A15/2.5,0))),INDEX('3_敌人属性设计'!$K$4:$K$33,MIN(30,ROUNDUP(A15/2.5,0)))))</f>
        <v>114</v>
      </c>
      <c r="E15" s="1">
        <v>1.2</v>
      </c>
      <c r="F15" s="1">
        <v>1</v>
      </c>
      <c r="G15" s="1">
        <f>ROUND(MAX(B15*E15*F15-D15,B15*'0_设计说明'!$B$26),0)</f>
        <v>554</v>
      </c>
      <c r="H15" s="1">
        <f>ROUNDUP(IF(C15="普通怪",INDEX('3_敌人属性设计'!$C$4:$C$33,MIN(30,ROUNDUP(A15/2.5,0))),IF(C15="精英怪",INDEX('3_敌人属性设计'!$F$4:$F$33,MIN(30,ROUNDUP(A15/2.5,0))),INDEX('3_敌人属性设计'!$I$4:$I$33,MIN(30,ROUNDUP(A15/2.5,0)))))/G15,0)</f>
        <v>6</v>
      </c>
      <c r="I15" s="1"/>
      <c r="J15" s="1"/>
      <c r="K15" s="1"/>
    </row>
    <row r="16" spans="1:11" ht="15">
      <c r="A16" s="1">
        <v>40</v>
      </c>
      <c r="B16" s="1">
        <f>INDEX('1_角色属性成长'!$C$4:$C$83,A16)</f>
        <v>557</v>
      </c>
      <c r="C16" s="1" t="s">
        <v>109</v>
      </c>
      <c r="D16" s="1">
        <f>IF(C16="普通怪",INDEX('3_敌人属性设计'!$E$4:$E$33,MIN(30,ROUNDUP(A16/2.5,0))),IF(C16="精英怪",INDEX('3_敌人属性设计'!$H$4:$H$33,MIN(30,ROUNDUP(A16/2.5,0))),INDEX('3_敌人属性设计'!$K$4:$K$33,MIN(30,ROUNDUP(A16/2.5,0)))))</f>
        <v>205</v>
      </c>
      <c r="E16" s="1">
        <v>1.2</v>
      </c>
      <c r="F16" s="1">
        <v>1</v>
      </c>
      <c r="G16" s="1">
        <f>ROUND(MAX(B16*E16*F16-D16,B16*'0_设计说明'!$B$26),0)</f>
        <v>463</v>
      </c>
      <c r="H16" s="1">
        <f>ROUNDUP(IF(C16="普通怪",INDEX('3_敌人属性设计'!$C$4:$C$33,MIN(30,ROUNDUP(A16/2.5,0))),IF(C16="精英怪",INDEX('3_敌人属性设计'!$F$4:$F$33,MIN(30,ROUNDUP(A16/2.5,0))),INDEX('3_敌人属性设计'!$I$4:$I$33,MIN(30,ROUNDUP(A16/2.5,0)))))/G16,0)</f>
        <v>17</v>
      </c>
      <c r="I16" s="1"/>
      <c r="J16" s="1"/>
      <c r="K16" s="1"/>
    </row>
    <row r="17" spans="1:11" ht="15">
      <c r="A17" s="1">
        <v>40</v>
      </c>
      <c r="B17" s="1">
        <f>INDEX('1_角色属性成长'!$C$4:$C$83,A17)</f>
        <v>557</v>
      </c>
      <c r="C17" s="1" t="s">
        <v>110</v>
      </c>
      <c r="D17" s="1">
        <f>IF(C17="普通怪",INDEX('3_敌人属性设计'!$E$4:$E$33,MIN(30,ROUNDUP(A17/2.5,0))),IF(C17="精英怪",INDEX('3_敌人属性设计'!$H$4:$H$33,MIN(30,ROUNDUP(A17/2.5,0))),INDEX('3_敌人属性设计'!$K$4:$K$33,MIN(30,ROUNDUP(A17/2.5,0)))))</f>
        <v>274</v>
      </c>
      <c r="E17" s="1">
        <v>1.5</v>
      </c>
      <c r="F17" s="1">
        <v>1</v>
      </c>
      <c r="G17" s="1">
        <f>ROUND(MAX(B17*E17*F17-D17,B17*'0_设计说明'!$B$26),0)</f>
        <v>562</v>
      </c>
      <c r="H17" s="1">
        <f>ROUNDUP(IF(C17="普通怪",INDEX('3_敌人属性设计'!$C$4:$C$33,MIN(30,ROUNDUP(A17/2.5,0))),IF(C17="精英怪",INDEX('3_敌人属性设计'!$F$4:$F$33,MIN(30,ROUNDUP(A17/2.5,0))),INDEX('3_敌人属性设计'!$I$4:$I$33,MIN(30,ROUNDUP(A17/2.5,0)))))/G17,0)</f>
        <v>48</v>
      </c>
      <c r="I17" s="1"/>
      <c r="J17" s="1"/>
      <c r="K17" s="1"/>
    </row>
    <row r="18" spans="1:11" ht="15">
      <c r="A18" s="1">
        <v>50</v>
      </c>
      <c r="B18" s="1">
        <f>INDEX('1_角色属性成长'!$C$4:$C$83,A18)</f>
        <v>864</v>
      </c>
      <c r="C18" s="1" t="s">
        <v>108</v>
      </c>
      <c r="D18" s="1">
        <f>IF(C18="普通怪",INDEX('3_敌人属性设计'!$E$4:$E$33,MIN(30,ROUNDUP(A18/2.5,0))),IF(C18="精英怪",INDEX('3_敌人属性设计'!$H$4:$H$33,MIN(30,ROUNDUP(A18/2.5,0))),INDEX('3_敌人属性设计'!$K$4:$K$33,MIN(30,ROUNDUP(A18/2.5,0)))))</f>
        <v>169</v>
      </c>
      <c r="E18" s="1">
        <v>1.2</v>
      </c>
      <c r="F18" s="1">
        <v>1</v>
      </c>
      <c r="G18" s="1">
        <f>ROUND(MAX(B18*E18*F18-D18,B18*'0_设计说明'!$B$26),0)</f>
        <v>868</v>
      </c>
      <c r="H18" s="1">
        <f>ROUNDUP(IF(C18="普通怪",INDEX('3_敌人属性设计'!$C$4:$C$33,MIN(30,ROUNDUP(A18/2.5,0))),IF(C18="精英怪",INDEX('3_敌人属性设计'!$F$4:$F$33,MIN(30,ROUNDUP(A18/2.5,0))),INDEX('3_敌人属性设计'!$I$4:$I$33,MIN(30,ROUNDUP(A18/2.5,0)))))/G18,0)</f>
        <v>6</v>
      </c>
      <c r="I18" s="1"/>
      <c r="J18" s="1"/>
      <c r="K18" s="1"/>
    </row>
    <row r="19" spans="1:11" ht="15">
      <c r="A19" s="1">
        <v>50</v>
      </c>
      <c r="B19" s="1">
        <f>INDEX('1_角色属性成长'!$C$4:$C$83,A19)</f>
        <v>864</v>
      </c>
      <c r="C19" s="1" t="s">
        <v>109</v>
      </c>
      <c r="D19" s="1">
        <f>IF(C19="普通怪",INDEX('3_敌人属性设计'!$E$4:$E$33,MIN(30,ROUNDUP(A19/2.5,0))),IF(C19="精英怪",INDEX('3_敌人属性设计'!$H$4:$H$33,MIN(30,ROUNDUP(A19/2.5,0))),INDEX('3_敌人属性设计'!$K$4:$K$33,MIN(30,ROUNDUP(A19/2.5,0)))))</f>
        <v>304</v>
      </c>
      <c r="E19" s="1">
        <v>1.2</v>
      </c>
      <c r="F19" s="1">
        <v>1</v>
      </c>
      <c r="G19" s="1">
        <f>ROUND(MAX(B19*E19*F19-D19,B19*'0_设计说明'!$B$26),0)</f>
        <v>733</v>
      </c>
      <c r="H19" s="1">
        <f>ROUNDUP(IF(C19="普通怪",INDEX('3_敌人属性设计'!$C$4:$C$33,MIN(30,ROUNDUP(A19/2.5,0))),IF(C19="精英怪",INDEX('3_敌人属性设计'!$F$4:$F$33,MIN(30,ROUNDUP(A19/2.5,0))),INDEX('3_敌人属性设计'!$I$4:$I$33,MIN(30,ROUNDUP(A19/2.5,0)))))/G19,0)</f>
        <v>20</v>
      </c>
      <c r="I19" s="1"/>
      <c r="J19" s="1"/>
      <c r="K19" s="1"/>
    </row>
    <row r="20" spans="1:11" ht="15">
      <c r="A20" s="1">
        <v>50</v>
      </c>
      <c r="B20" s="1">
        <f>INDEX('1_角色属性成长'!$C$4:$C$83,A20)</f>
        <v>864</v>
      </c>
      <c r="C20" s="1" t="s">
        <v>110</v>
      </c>
      <c r="D20" s="1">
        <f>IF(C20="普通怪",INDEX('3_敌人属性设计'!$E$4:$E$33,MIN(30,ROUNDUP(A20/2.5,0))),IF(C20="精英怪",INDEX('3_敌人属性设计'!$H$4:$H$33,MIN(30,ROUNDUP(A20/2.5,0))),INDEX('3_敌人属性设计'!$K$4:$K$33,MIN(30,ROUNDUP(A20/2.5,0)))))</f>
        <v>406</v>
      </c>
      <c r="E20" s="1">
        <v>1.5</v>
      </c>
      <c r="F20" s="1">
        <v>1</v>
      </c>
      <c r="G20" s="1">
        <f>ROUND(MAX(B20*E20*F20-D20,B20*'0_设计说明'!$B$26),0)</f>
        <v>890</v>
      </c>
      <c r="H20" s="1">
        <f>ROUNDUP(IF(C20="普通怪",INDEX('3_敌人属性设计'!$C$4:$C$33,MIN(30,ROUNDUP(A20/2.5,0))),IF(C20="精英怪",INDEX('3_敌人属性设计'!$F$4:$F$33,MIN(30,ROUNDUP(A20/2.5,0))),INDEX('3_敌人属性设计'!$I$4:$I$33,MIN(30,ROUNDUP(A20/2.5,0)))))/G20,0)</f>
        <v>54</v>
      </c>
      <c r="I20" s="1"/>
      <c r="J20" s="1"/>
      <c r="K20" s="1"/>
    </row>
    <row r="21" spans="1:11" ht="15">
      <c r="A21" s="1">
        <v>60</v>
      </c>
      <c r="B21" s="1">
        <f>INDEX('1_角色属性成长'!$C$4:$C$83,A21)</f>
        <v>1342</v>
      </c>
      <c r="C21" s="1" t="s">
        <v>108</v>
      </c>
      <c r="D21" s="1">
        <f>IF(C21="普通怪",INDEX('3_敌人属性设计'!$E$4:$E$33,MIN(30,ROUNDUP(A21/2.5,0))),IF(C21="精英怪",INDEX('3_敌人属性设计'!$H$4:$H$33,MIN(30,ROUNDUP(A21/2.5,0))),INDEX('3_敌人属性设计'!$K$4:$K$33,MIN(30,ROUNDUP(A21/2.5,0)))))</f>
        <v>250</v>
      </c>
      <c r="E21" s="1">
        <v>1.2</v>
      </c>
      <c r="F21" s="1">
        <v>1</v>
      </c>
      <c r="G21" s="1">
        <f>ROUND(MAX(B21*E21*F21-D21,B21*'0_设计说明'!$B$26),0)</f>
        <v>1360</v>
      </c>
      <c r="H21" s="1">
        <f>ROUNDUP(IF(C21="普通怪",INDEX('3_敌人属性设计'!$C$4:$C$33,MIN(30,ROUNDUP(A21/2.5,0))),IF(C21="精英怪",INDEX('3_敌人属性设计'!$F$4:$F$33,MIN(30,ROUNDUP(A21/2.5,0))),INDEX('3_敌人属性设计'!$I$4:$I$33,MIN(30,ROUNDUP(A21/2.5,0)))))/G21,0)</f>
        <v>7</v>
      </c>
      <c r="I21" s="1"/>
      <c r="J21" s="1"/>
      <c r="K21" s="1"/>
    </row>
    <row r="22" spans="1:11" ht="15">
      <c r="A22" s="1">
        <v>60</v>
      </c>
      <c r="B22" s="1">
        <f>INDEX('1_角色属性成长'!$C$4:$C$83,A22)</f>
        <v>1342</v>
      </c>
      <c r="C22" s="1" t="s">
        <v>109</v>
      </c>
      <c r="D22" s="1">
        <f>IF(C22="普通怪",INDEX('3_敌人属性设计'!$E$4:$E$33,MIN(30,ROUNDUP(A22/2.5,0))),IF(C22="精英怪",INDEX('3_敌人属性设计'!$H$4:$H$33,MIN(30,ROUNDUP(A22/2.5,0))),INDEX('3_敌人属性设计'!$K$4:$K$33,MIN(30,ROUNDUP(A22/2.5,0)))))</f>
        <v>450</v>
      </c>
      <c r="E22" s="1">
        <v>1.2</v>
      </c>
      <c r="F22" s="1">
        <v>1</v>
      </c>
      <c r="G22" s="1">
        <f>ROUND(MAX(B22*E22*F22-D22,B22*'0_设计说明'!$B$26),0)</f>
        <v>1160</v>
      </c>
      <c r="H22" s="1">
        <f>ROUNDUP(IF(C22="普通怪",INDEX('3_敌人属性设计'!$C$4:$C$33,MIN(30,ROUNDUP(A22/2.5,0))),IF(C22="精英怪",INDEX('3_敌人属性设计'!$F$4:$F$33,MIN(30,ROUNDUP(A22/2.5,0))),INDEX('3_敌人属性设计'!$I$4:$I$33,MIN(30,ROUNDUP(A22/2.5,0)))))/G22,0)</f>
        <v>22</v>
      </c>
      <c r="I22" s="1"/>
      <c r="J22" s="1"/>
      <c r="K22" s="1"/>
    </row>
    <row r="23" spans="1:11" ht="15">
      <c r="A23" s="1">
        <v>60</v>
      </c>
      <c r="B23" s="1">
        <f>INDEX('1_角色属性成长'!$C$4:$C$83,A23)</f>
        <v>1342</v>
      </c>
      <c r="C23" s="1" t="s">
        <v>110</v>
      </c>
      <c r="D23" s="1">
        <f>IF(C23="普通怪",INDEX('3_敌人属性设计'!$E$4:$E$33,MIN(30,ROUNDUP(A23/2.5,0))),IF(C23="精英怪",INDEX('3_敌人属性设计'!$H$4:$H$33,MIN(30,ROUNDUP(A23/2.5,0))),INDEX('3_敌人属性设计'!$K$4:$K$33,MIN(30,ROUNDUP(A23/2.5,0)))))</f>
        <v>600</v>
      </c>
      <c r="E23" s="1">
        <v>1.5</v>
      </c>
      <c r="F23" s="1">
        <v>1</v>
      </c>
      <c r="G23" s="1">
        <f>ROUND(MAX(B23*E23*F23-D23,B23*'0_设计说明'!$B$26),0)</f>
        <v>1413</v>
      </c>
      <c r="H23" s="1">
        <f>ROUNDUP(IF(C23="普通怪",INDEX('3_敌人属性设计'!$C$4:$C$33,MIN(30,ROUNDUP(A23/2.5,0))),IF(C23="精英怪",INDEX('3_敌人属性设计'!$F$4:$F$33,MIN(30,ROUNDUP(A23/2.5,0))),INDEX('3_敌人属性设计'!$I$4:$I$33,MIN(30,ROUNDUP(A23/2.5,0)))))/G23,0)</f>
        <v>61</v>
      </c>
      <c r="I23" s="1"/>
      <c r="J23" s="1"/>
      <c r="K23" s="1"/>
    </row>
    <row r="24" spans="1:11" ht="15">
      <c r="A24" s="1">
        <v>70</v>
      </c>
      <c r="B24" s="1">
        <f>INDEX('1_角色属性成长'!$C$4:$C$83,A24)</f>
        <v>2085</v>
      </c>
      <c r="C24" s="1" t="s">
        <v>108</v>
      </c>
      <c r="D24" s="1">
        <f>IF(C24="普通怪",INDEX('3_敌人属性设计'!$E$4:$E$33,MIN(30,ROUNDUP(A24/2.5,0))),IF(C24="精英怪",INDEX('3_敌人属性设计'!$H$4:$H$33,MIN(30,ROUNDUP(A24/2.5,0))),INDEX('3_敌人属性设计'!$K$4:$K$33,MIN(30,ROUNDUP(A24/2.5,0)))))</f>
        <v>370</v>
      </c>
      <c r="E24" s="1">
        <v>1.2</v>
      </c>
      <c r="F24" s="1">
        <v>1</v>
      </c>
      <c r="G24" s="1">
        <f>ROUND(MAX(B24*E24*F24-D24,B24*'0_设计说明'!$B$26),0)</f>
        <v>2132</v>
      </c>
      <c r="H24" s="1">
        <f>ROUNDUP(IF(C24="普通怪",INDEX('3_敌人属性设计'!$C$4:$C$33,MIN(30,ROUNDUP(A24/2.5,0))),IF(C24="精英怪",INDEX('3_敌人属性设计'!$F$4:$F$33,MIN(30,ROUNDUP(A24/2.5,0))),INDEX('3_敌人属性设计'!$I$4:$I$33,MIN(30,ROUNDUP(A24/2.5,0)))))/G24,0)</f>
        <v>8</v>
      </c>
      <c r="I24" s="1"/>
      <c r="J24" s="1"/>
      <c r="K24" s="1"/>
    </row>
    <row r="25" spans="1:11" ht="15">
      <c r="A25" s="1">
        <v>70</v>
      </c>
      <c r="B25" s="1">
        <f>INDEX('1_角色属性成长'!$C$4:$C$83,A25)</f>
        <v>2085</v>
      </c>
      <c r="C25" s="1" t="s">
        <v>109</v>
      </c>
      <c r="D25" s="1">
        <f>IF(C25="普通怪",INDEX('3_敌人属性设计'!$E$4:$E$33,MIN(30,ROUNDUP(A25/2.5,0))),IF(C25="精英怪",INDEX('3_敌人属性设计'!$H$4:$H$33,MIN(30,ROUNDUP(A25/2.5,0))),INDEX('3_敌人属性设计'!$K$4:$K$33,MIN(30,ROUNDUP(A25/2.5,0)))))</f>
        <v>666</v>
      </c>
      <c r="E25" s="1">
        <v>1.2</v>
      </c>
      <c r="F25" s="1">
        <v>1</v>
      </c>
      <c r="G25" s="1">
        <f>ROUND(MAX(B25*E25*F25-D25,B25*'0_设计说明'!$B$26),0)</f>
        <v>1836</v>
      </c>
      <c r="H25" s="1">
        <f>ROUNDUP(IF(C25="普通怪",INDEX('3_敌人属性设计'!$C$4:$C$33,MIN(30,ROUNDUP(A25/2.5,0))),IF(C25="精英怪",INDEX('3_敌人属性设计'!$F$4:$F$33,MIN(30,ROUNDUP(A25/2.5,0))),INDEX('3_敌人属性设计'!$I$4:$I$33,MIN(30,ROUNDUP(A25/2.5,0)))))/G25,0)</f>
        <v>25</v>
      </c>
      <c r="I25" s="1"/>
      <c r="J25" s="1"/>
      <c r="K25" s="1"/>
    </row>
    <row r="26" spans="1:11" ht="15">
      <c r="A26" s="1">
        <v>70</v>
      </c>
      <c r="B26" s="1">
        <f>INDEX('1_角色属性成长'!$C$4:$C$83,A26)</f>
        <v>2085</v>
      </c>
      <c r="C26" s="1" t="s">
        <v>110</v>
      </c>
      <c r="D26" s="1">
        <f>IF(C26="普通怪",INDEX('3_敌人属性设计'!$E$4:$E$33,MIN(30,ROUNDUP(A26/2.5,0))),IF(C26="精英怪",INDEX('3_敌人属性设计'!$H$4:$H$33,MIN(30,ROUNDUP(A26/2.5,0))),INDEX('3_敌人属性设计'!$K$4:$K$33,MIN(30,ROUNDUP(A26/2.5,0)))))</f>
        <v>888</v>
      </c>
      <c r="E26" s="1">
        <v>1.5</v>
      </c>
      <c r="F26" s="1">
        <v>1</v>
      </c>
      <c r="G26" s="1">
        <f>ROUND(MAX(B26*E26*F26-D26,B26*'0_设计说明'!$B$26),0)</f>
        <v>2240</v>
      </c>
      <c r="H26" s="1">
        <f>ROUNDUP(IF(C26="普通怪",INDEX('3_敌人属性设计'!$C$4:$C$33,MIN(30,ROUNDUP(A26/2.5,0))),IF(C26="精英怪",INDEX('3_敌人属性设计'!$F$4:$F$33,MIN(30,ROUNDUP(A26/2.5,0))),INDEX('3_敌人属性设计'!$I$4:$I$33,MIN(30,ROUNDUP(A26/2.5,0)))))/G26,0)</f>
        <v>68</v>
      </c>
      <c r="I26" s="1"/>
      <c r="J26" s="1"/>
      <c r="K26" s="1"/>
    </row>
    <row r="27" spans="1:11" ht="15">
      <c r="A27" s="1">
        <v>80</v>
      </c>
      <c r="B27" s="1">
        <f>INDEX('1_角色属性成长'!$C$4:$C$83,A27)</f>
        <v>3237</v>
      </c>
      <c r="C27" s="1" t="s">
        <v>108</v>
      </c>
      <c r="D27" s="1">
        <f>IF(C27="普通怪",INDEX('3_敌人属性设计'!$E$4:$E$33,MIN(30,ROUNDUP(A27/2.5,0))),IF(C27="精英怪",INDEX('3_敌人属性设计'!$H$4:$H$33,MIN(30,ROUNDUP(A27/2.5,0))),INDEX('3_敌人属性设计'!$K$4:$K$33,MIN(30,ROUNDUP(A27/2.5,0)))))</f>
        <v>451</v>
      </c>
      <c r="E27" s="1">
        <v>1.2</v>
      </c>
      <c r="F27" s="1">
        <v>1</v>
      </c>
      <c r="G27" s="1">
        <f>ROUND(MAX(B27*E27*F27-D27,B27*'0_设计说明'!$B$26),0)</f>
        <v>3433</v>
      </c>
      <c r="H27" s="1">
        <f>ROUNDUP(IF(C27="普通怪",INDEX('3_敌人属性设计'!$C$4:$C$33,MIN(30,ROUNDUP(A27/2.5,0))),IF(C27="精英怪",INDEX('3_敌人属性设计'!$F$4:$F$33,MIN(30,ROUNDUP(A27/2.5,0))),INDEX('3_敌人属性设计'!$I$4:$I$33,MIN(30,ROUNDUP(A27/2.5,0)))))/G27,0)</f>
        <v>7</v>
      </c>
      <c r="I27" s="1"/>
      <c r="J27" s="1"/>
      <c r="K27" s="1"/>
    </row>
    <row r="28" spans="1:11" ht="15">
      <c r="A28" s="1">
        <v>80</v>
      </c>
      <c r="B28" s="1">
        <f>INDEX('1_角色属性成长'!$C$4:$C$83,A28)</f>
        <v>3237</v>
      </c>
      <c r="C28" s="1" t="s">
        <v>109</v>
      </c>
      <c r="D28" s="1">
        <f>IF(C28="普通怪",INDEX('3_敌人属性设计'!$E$4:$E$33,MIN(30,ROUNDUP(A28/2.5,0))),IF(C28="精英怪",INDEX('3_敌人属性设计'!$H$4:$H$33,MIN(30,ROUNDUP(A28/2.5,0))),INDEX('3_敌人属性设计'!$K$4:$K$33,MIN(30,ROUNDUP(A28/2.5,0)))))</f>
        <v>812</v>
      </c>
      <c r="E28" s="1">
        <v>1.2</v>
      </c>
      <c r="F28" s="1">
        <v>1</v>
      </c>
      <c r="G28" s="1">
        <f>ROUND(MAX(B28*E28*F28-D28,B28*'0_设计说明'!$B$26),0)</f>
        <v>3072</v>
      </c>
      <c r="H28" s="1">
        <f>ROUNDUP(IF(C28="普通怪",INDEX('3_敌人属性设计'!$C$4:$C$33,MIN(30,ROUNDUP(A28/2.5,0))),IF(C28="精英怪",INDEX('3_敌人属性设计'!$F$4:$F$33,MIN(30,ROUNDUP(A28/2.5,0))),INDEX('3_敌人属性设计'!$I$4:$I$33,MIN(30,ROUNDUP(A28/2.5,0)))))/G28,0)</f>
        <v>20</v>
      </c>
      <c r="I28" s="1"/>
      <c r="J28" s="1"/>
      <c r="K28" s="1"/>
    </row>
    <row r="29" spans="1:11" ht="15">
      <c r="A29" s="1">
        <v>80</v>
      </c>
      <c r="B29" s="1">
        <f>INDEX('1_角色属性成长'!$C$4:$C$83,A29)</f>
        <v>3237</v>
      </c>
      <c r="C29" s="1" t="s">
        <v>110</v>
      </c>
      <c r="D29" s="1">
        <f>IF(C29="普通怪",INDEX('3_敌人属性设计'!$E$4:$E$33,MIN(30,ROUNDUP(A29/2.5,0))),IF(C29="精英怪",INDEX('3_敌人属性设计'!$H$4:$H$33,MIN(30,ROUNDUP(A29/2.5,0))),INDEX('3_敌人属性设计'!$K$4:$K$33,MIN(30,ROUNDUP(A29/2.5,0)))))</f>
        <v>1082</v>
      </c>
      <c r="E29" s="1">
        <v>1.5</v>
      </c>
      <c r="F29" s="1">
        <v>1</v>
      </c>
      <c r="G29" s="1">
        <f>ROUND(MAX(B29*E29*F29-D29,B29*'0_设计说明'!$B$26),0)</f>
        <v>3774</v>
      </c>
      <c r="H29" s="1">
        <f>ROUNDUP(IF(C29="普通怪",INDEX('3_敌人属性设计'!$C$4:$C$33,MIN(30,ROUNDUP(A29/2.5,0))),IF(C29="精英怪",INDEX('3_敌人属性设计'!$F$4:$F$33,MIN(30,ROUNDUP(A29/2.5,0))),INDEX('3_敌人属性设计'!$I$4:$I$33,MIN(30,ROUNDUP(A29/2.5,0)))))/G29,0)</f>
        <v>54</v>
      </c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2">
    <mergeCell ref="A1:H1"/>
    <mergeCell ref="A3:H3"/>
  </mergeCells>
  <phoneticPr fontId="4" type="noConversion"/>
  <conditionalFormatting sqref="H6:H29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0"/>
  <sheetViews>
    <sheetView workbookViewId="0">
      <selection sqref="A1:K1"/>
    </sheetView>
  </sheetViews>
  <sheetFormatPr defaultRowHeight="13.8"/>
  <cols>
    <col min="1" max="11" width="14" customWidth="1"/>
  </cols>
  <sheetData>
    <row r="1" spans="1:11" ht="15.6">
      <c r="A1" s="9" t="s">
        <v>111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2" t="s">
        <v>57</v>
      </c>
      <c r="B3" s="2" t="s">
        <v>58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</row>
    <row r="4" spans="1:11" ht="15">
      <c r="A4" s="1" t="s">
        <v>68</v>
      </c>
      <c r="B4" s="1">
        <f>'3_敌人属性设计'!B4</f>
        <v>3</v>
      </c>
      <c r="C4" s="1">
        <f>6+ROUNDUP(1/3,0)</f>
        <v>7</v>
      </c>
      <c r="D4" s="1">
        <f>IF(MOD(1,4)=0,2,1)</f>
        <v>1</v>
      </c>
      <c r="E4" s="1">
        <f>IF(MOD(1,5)=0,1,0)</f>
        <v>0</v>
      </c>
      <c r="F4" s="1">
        <f>C4*'3_敌人属性设计'!C4+D4*'3_敌人属性设计'!F4+E4*'3_敌人属性设计'!I4</f>
        <v>3097</v>
      </c>
      <c r="G4" s="1">
        <f>INDEX('1_角色属性成长'!$E$4:$E$83,B4)</f>
        <v>965</v>
      </c>
      <c r="H4" s="1">
        <f t="shared" ref="H4:H33" si="0">ROUND(F4/(G4*2.8),2)</f>
        <v>1.1499999999999999</v>
      </c>
      <c r="I4" s="1" t="str">
        <f t="shared" ref="I4:I33" si="1">IF(H4&lt;0.8,"偏易",IF(H4&lt;1.1,"适中",IF(H4&lt;1.4,"偏难","高压")))</f>
        <v>偏难</v>
      </c>
      <c r="J4" s="1">
        <f>ROUND(120+1*35+IF(E4=1,200,0),0)</f>
        <v>155</v>
      </c>
      <c r="K4" s="1" t="str">
        <f>IF(1&lt;=10,"低级材料",IF(1&lt;=20,"中级材料","高级材料"))</f>
        <v>低级材料</v>
      </c>
    </row>
    <row r="5" spans="1:11" ht="15">
      <c r="A5" s="1" t="s">
        <v>69</v>
      </c>
      <c r="B5" s="1">
        <f>'3_敌人属性设计'!B5</f>
        <v>5</v>
      </c>
      <c r="C5" s="1">
        <f>6+ROUNDUP(2/3,0)</f>
        <v>7</v>
      </c>
      <c r="D5" s="1">
        <f>IF(MOD(2,4)=0,2,1)</f>
        <v>1</v>
      </c>
      <c r="E5" s="1">
        <f>IF(MOD(2,5)=0,1,0)</f>
        <v>0</v>
      </c>
      <c r="F5" s="1">
        <f>C5*'3_敌人属性设计'!C5+D5*'3_敌人属性设计'!F5+E5*'3_敌人属性设计'!I5</f>
        <v>3499</v>
      </c>
      <c r="G5" s="1">
        <f>INDEX('1_角色属性成长'!$E$4:$E$83,B5)</f>
        <v>1055</v>
      </c>
      <c r="H5" s="1">
        <f t="shared" si="0"/>
        <v>1.18</v>
      </c>
      <c r="I5" s="1" t="str">
        <f t="shared" si="1"/>
        <v>偏难</v>
      </c>
      <c r="J5" s="1">
        <f>ROUND(120+2*35+IF(E5=1,200,0),0)</f>
        <v>190</v>
      </c>
      <c r="K5" s="1" t="str">
        <f>IF(2&lt;=10,"低级材料",IF(2&lt;=20,"中级材料","高级材料"))</f>
        <v>低级材料</v>
      </c>
    </row>
    <row r="6" spans="1:11" ht="15">
      <c r="A6" s="1" t="s">
        <v>70</v>
      </c>
      <c r="B6" s="1">
        <f>'3_敌人属性设计'!B6</f>
        <v>8</v>
      </c>
      <c r="C6" s="1">
        <f>6+ROUNDUP(3/3,0)</f>
        <v>7</v>
      </c>
      <c r="D6" s="1">
        <f>IF(MOD(3,4)=0,2,1)</f>
        <v>1</v>
      </c>
      <c r="E6" s="1">
        <f>IF(MOD(3,5)=0,1,0)</f>
        <v>0</v>
      </c>
      <c r="F6" s="1">
        <f>C6*'3_敌人属性设计'!C6+D6*'3_敌人属性设计'!F6+E6*'3_敌人属性设计'!I6</f>
        <v>4175</v>
      </c>
      <c r="G6" s="1">
        <f>INDEX('1_角色属性成长'!$E$4:$E$83,B6)</f>
        <v>1207</v>
      </c>
      <c r="H6" s="1">
        <f t="shared" si="0"/>
        <v>1.24</v>
      </c>
      <c r="I6" s="1" t="str">
        <f t="shared" si="1"/>
        <v>偏难</v>
      </c>
      <c r="J6" s="1">
        <f>ROUND(120+3*35+IF(E6=1,200,0),0)</f>
        <v>225</v>
      </c>
      <c r="K6" s="1" t="str">
        <f>IF(3&lt;=10,"低级材料",IF(3&lt;=20,"中级材料","高级材料"))</f>
        <v>低级材料</v>
      </c>
    </row>
    <row r="7" spans="1:11" ht="15">
      <c r="A7" s="1" t="s">
        <v>71</v>
      </c>
      <c r="B7" s="1">
        <f>'3_敌人属性设计'!B7</f>
        <v>10</v>
      </c>
      <c r="C7" s="1">
        <f>6+ROUNDUP(4/3,0)</f>
        <v>8</v>
      </c>
      <c r="D7" s="1">
        <f>IF(MOD(4,4)=0,2,1)</f>
        <v>2</v>
      </c>
      <c r="E7" s="1">
        <f>IF(MOD(4,5)=0,1,0)</f>
        <v>0</v>
      </c>
      <c r="F7" s="1">
        <f>C7*'3_敌人属性设计'!C7+D7*'3_敌人属性设计'!F7+E7*'3_敌人属性设计'!I7</f>
        <v>6542</v>
      </c>
      <c r="G7" s="1">
        <f>INDEX('1_角色属性成长'!$E$4:$E$83,B7)</f>
        <v>1322</v>
      </c>
      <c r="H7" s="1">
        <f t="shared" si="0"/>
        <v>1.77</v>
      </c>
      <c r="I7" s="1" t="str">
        <f t="shared" si="1"/>
        <v>高压</v>
      </c>
      <c r="J7" s="1">
        <f>ROUND(120+4*35+IF(E7=1,200,0),0)</f>
        <v>260</v>
      </c>
      <c r="K7" s="1" t="str">
        <f>IF(4&lt;=10,"低级材料",IF(4&lt;=20,"中级材料","高级材料"))</f>
        <v>低级材料</v>
      </c>
    </row>
    <row r="8" spans="1:11" ht="15">
      <c r="A8" s="1" t="s">
        <v>72</v>
      </c>
      <c r="B8" s="1">
        <f>'3_敌人属性设计'!B8</f>
        <v>13</v>
      </c>
      <c r="C8" s="1">
        <f>6+ROUNDUP(5/3,0)</f>
        <v>8</v>
      </c>
      <c r="D8" s="1">
        <f>IF(MOD(5,4)=0,2,1)</f>
        <v>1</v>
      </c>
      <c r="E8" s="1">
        <f>IF(MOD(5,5)=0,1,0)</f>
        <v>1</v>
      </c>
      <c r="F8" s="1">
        <f>C8*'3_敌人属性设计'!C8+D8*'3_敌人属性设计'!F8+E8*'3_敌人属性设计'!I8</f>
        <v>11612</v>
      </c>
      <c r="G8" s="1">
        <f>INDEX('1_角色属性成长'!$E$4:$E$83,B8)</f>
        <v>1512</v>
      </c>
      <c r="H8" s="1">
        <f t="shared" si="0"/>
        <v>2.74</v>
      </c>
      <c r="I8" s="1" t="str">
        <f t="shared" si="1"/>
        <v>高压</v>
      </c>
      <c r="J8" s="1">
        <f>ROUND(120+5*35+IF(E8=1,200,0),0)</f>
        <v>495</v>
      </c>
      <c r="K8" s="1" t="str">
        <f>IF(5&lt;=10,"低级材料",IF(5&lt;=20,"中级材料","高级材料"))</f>
        <v>低级材料</v>
      </c>
    </row>
    <row r="9" spans="1:11" ht="15">
      <c r="A9" s="1" t="s">
        <v>73</v>
      </c>
      <c r="B9" s="1">
        <f>'3_敌人属性设计'!B9</f>
        <v>15</v>
      </c>
      <c r="C9" s="1">
        <f>6+ROUNDUP(6/3,0)</f>
        <v>8</v>
      </c>
      <c r="D9" s="1">
        <f>IF(MOD(6,4)=0,2,1)</f>
        <v>1</v>
      </c>
      <c r="E9" s="1">
        <f>IF(MOD(6,5)=0,1,0)</f>
        <v>0</v>
      </c>
      <c r="F9" s="1">
        <f>C9*'3_敌人属性设计'!C9+D9*'3_敌人属性设计'!F9+E9*'3_敌人属性设计'!I9</f>
        <v>6977</v>
      </c>
      <c r="G9" s="1">
        <f>INDEX('1_角色属性成长'!$E$4:$E$83,B9)</f>
        <v>1649</v>
      </c>
      <c r="H9" s="1">
        <f t="shared" si="0"/>
        <v>1.51</v>
      </c>
      <c r="I9" s="1" t="str">
        <f t="shared" si="1"/>
        <v>高压</v>
      </c>
      <c r="J9" s="1">
        <f>ROUND(120+6*35+IF(E9=1,200,0),0)</f>
        <v>330</v>
      </c>
      <c r="K9" s="1" t="str">
        <f>IF(6&lt;=10,"低级材料",IF(6&lt;=20,"中级材料","高级材料"))</f>
        <v>低级材料</v>
      </c>
    </row>
    <row r="10" spans="1:11" ht="15">
      <c r="A10" s="1" t="s">
        <v>74</v>
      </c>
      <c r="B10" s="1">
        <f>'3_敌人属性设计'!B10</f>
        <v>18</v>
      </c>
      <c r="C10" s="1">
        <f>6+ROUNDUP(7/3,0)</f>
        <v>9</v>
      </c>
      <c r="D10" s="1">
        <f>IF(MOD(7,4)=0,2,1)</f>
        <v>1</v>
      </c>
      <c r="E10" s="1">
        <f>IF(MOD(7,5)=0,1,0)</f>
        <v>0</v>
      </c>
      <c r="F10" s="1">
        <f>C10*'3_敌人属性设计'!C10+D10*'3_敌人属性设计'!F10+E10*'3_敌人属性设计'!I10</f>
        <v>9074</v>
      </c>
      <c r="G10" s="1">
        <f>INDEX('1_角色属性成长'!$E$4:$E$83,B10)</f>
        <v>1885</v>
      </c>
      <c r="H10" s="1">
        <f t="shared" si="0"/>
        <v>1.72</v>
      </c>
      <c r="I10" s="1" t="str">
        <f t="shared" si="1"/>
        <v>高压</v>
      </c>
      <c r="J10" s="1">
        <f>ROUND(120+7*35+IF(E10=1,200,0),0)</f>
        <v>365</v>
      </c>
      <c r="K10" s="1" t="str">
        <f>IF(7&lt;=10,"低级材料",IF(7&lt;=20,"中级材料","高级材料"))</f>
        <v>低级材料</v>
      </c>
    </row>
    <row r="11" spans="1:11" ht="15">
      <c r="A11" s="1" t="s">
        <v>75</v>
      </c>
      <c r="B11" s="1">
        <f>'3_敌人属性设计'!B11</f>
        <v>20</v>
      </c>
      <c r="C11" s="1">
        <f>6+ROUNDUP(8/3,0)</f>
        <v>9</v>
      </c>
      <c r="D11" s="1">
        <f>IF(MOD(8,4)=0,2,1)</f>
        <v>2</v>
      </c>
      <c r="E11" s="1">
        <f>IF(MOD(8,5)=0,1,0)</f>
        <v>0</v>
      </c>
      <c r="F11" s="1">
        <f>C11*'3_敌人属性设计'!C11+D11*'3_敌人属性设计'!F11+E11*'3_敌人属性设计'!I11</f>
        <v>12659</v>
      </c>
      <c r="G11" s="1">
        <f>INDEX('1_角色属性成长'!$E$4:$E$83,B11)</f>
        <v>2066</v>
      </c>
      <c r="H11" s="1">
        <f t="shared" si="0"/>
        <v>2.19</v>
      </c>
      <c r="I11" s="1" t="str">
        <f t="shared" si="1"/>
        <v>高压</v>
      </c>
      <c r="J11" s="1">
        <f>ROUND(120+8*35+IF(E11=1,200,0),0)</f>
        <v>400</v>
      </c>
      <c r="K11" s="1" t="str">
        <f>IF(8&lt;=10,"低级材料",IF(8&lt;=20,"中级材料","高级材料"))</f>
        <v>低级材料</v>
      </c>
    </row>
    <row r="12" spans="1:11" ht="15">
      <c r="A12" s="1" t="s">
        <v>76</v>
      </c>
      <c r="B12" s="1">
        <f>'3_敌人属性设计'!B12</f>
        <v>23</v>
      </c>
      <c r="C12" s="1">
        <f>6+ROUNDUP(9/3,0)</f>
        <v>9</v>
      </c>
      <c r="D12" s="1">
        <f>IF(MOD(9,4)=0,2,1)</f>
        <v>1</v>
      </c>
      <c r="E12" s="1">
        <f>IF(MOD(9,5)=0,1,0)</f>
        <v>0</v>
      </c>
      <c r="F12" s="1">
        <f>C12*'3_敌人属性设计'!C12+D12*'3_敌人属性设计'!F12+E12*'3_敌人属性设计'!I12</f>
        <v>12178</v>
      </c>
      <c r="G12" s="1">
        <f>INDEX('1_角色属性成长'!$E$4:$E$83,B12)</f>
        <v>2358</v>
      </c>
      <c r="H12" s="1">
        <f t="shared" si="0"/>
        <v>1.84</v>
      </c>
      <c r="I12" s="1" t="str">
        <f t="shared" si="1"/>
        <v>高压</v>
      </c>
      <c r="J12" s="1">
        <f>ROUND(120+9*35+IF(E12=1,200,0),0)</f>
        <v>435</v>
      </c>
      <c r="K12" s="1" t="str">
        <f>IF(9&lt;=10,"低级材料",IF(9&lt;=20,"中级材料","高级材料"))</f>
        <v>低级材料</v>
      </c>
    </row>
    <row r="13" spans="1:11" ht="15">
      <c r="A13" s="1" t="s">
        <v>77</v>
      </c>
      <c r="B13" s="1">
        <f>'3_敌人属性设计'!B13</f>
        <v>25</v>
      </c>
      <c r="C13" s="1">
        <f>6+ROUNDUP(10/3,0)</f>
        <v>10</v>
      </c>
      <c r="D13" s="1">
        <f>IF(MOD(10,4)=0,2,1)</f>
        <v>1</v>
      </c>
      <c r="E13" s="1">
        <f>IF(MOD(10,5)=0,1,0)</f>
        <v>1</v>
      </c>
      <c r="F13" s="1">
        <f>C13*'3_敌人属性设计'!C13+D13*'3_敌人属性设计'!F13+E13*'3_敌人属性设计'!I13</f>
        <v>25957</v>
      </c>
      <c r="G13" s="1">
        <f>INDEX('1_角色属性成长'!$E$4:$E$83,B13)</f>
        <v>2585</v>
      </c>
      <c r="H13" s="1">
        <f t="shared" si="0"/>
        <v>3.59</v>
      </c>
      <c r="I13" s="1" t="str">
        <f t="shared" si="1"/>
        <v>高压</v>
      </c>
      <c r="J13" s="1">
        <f>ROUND(120+10*35+IF(E13=1,200,0),0)</f>
        <v>670</v>
      </c>
      <c r="K13" s="1" t="str">
        <f>IF(10&lt;=10,"低级材料",IF(10&lt;=20,"中级材料","高级材料"))</f>
        <v>低级材料</v>
      </c>
    </row>
    <row r="14" spans="1:11" ht="15">
      <c r="A14" s="1" t="s">
        <v>78</v>
      </c>
      <c r="B14" s="1">
        <f>'3_敌人属性设计'!B14</f>
        <v>28</v>
      </c>
      <c r="C14" s="1">
        <f>6+ROUNDUP(11/3,0)</f>
        <v>10</v>
      </c>
      <c r="D14" s="1">
        <f>IF(MOD(11,4)=0,2,1)</f>
        <v>1</v>
      </c>
      <c r="E14" s="1">
        <f>IF(MOD(11,5)=0,1,0)</f>
        <v>0</v>
      </c>
      <c r="F14" s="1">
        <f>C14*'3_敌人属性设计'!C14+D14*'3_敌人属性设计'!F14+E14*'3_敌人属性设计'!I14</f>
        <v>17715</v>
      </c>
      <c r="G14" s="1">
        <f>INDEX('1_角色属性成长'!$E$4:$E$83,B14)</f>
        <v>2954</v>
      </c>
      <c r="H14" s="1">
        <f t="shared" si="0"/>
        <v>2.14</v>
      </c>
      <c r="I14" s="1" t="str">
        <f t="shared" si="1"/>
        <v>高压</v>
      </c>
      <c r="J14" s="1">
        <f>ROUND(120+11*35+IF(E14=1,200,0),0)</f>
        <v>505</v>
      </c>
      <c r="K14" s="1" t="str">
        <f>IF(11&lt;=10,"低级材料",IF(11&lt;=20,"中级材料","高级材料"))</f>
        <v>中级材料</v>
      </c>
    </row>
    <row r="15" spans="1:11" ht="15">
      <c r="A15" s="1" t="s">
        <v>79</v>
      </c>
      <c r="B15" s="1">
        <f>'3_敌人属性设计'!B15</f>
        <v>30</v>
      </c>
      <c r="C15" s="1">
        <f>6+ROUNDUP(12/3,0)</f>
        <v>10</v>
      </c>
      <c r="D15" s="1">
        <f>IF(MOD(12,4)=0,2,1)</f>
        <v>2</v>
      </c>
      <c r="E15" s="1">
        <f>IF(MOD(12,5)=0,1,0)</f>
        <v>0</v>
      </c>
      <c r="F15" s="1">
        <f>C15*'3_敌人属性设计'!C15+D15*'3_敌人属性设计'!F15+E15*'3_敌人属性设计'!I15</f>
        <v>24352</v>
      </c>
      <c r="G15" s="1">
        <f>INDEX('1_角色属性成长'!$E$4:$E$83,B15)</f>
        <v>3231</v>
      </c>
      <c r="H15" s="1">
        <f t="shared" si="0"/>
        <v>2.69</v>
      </c>
      <c r="I15" s="1" t="str">
        <f t="shared" si="1"/>
        <v>高压</v>
      </c>
      <c r="J15" s="1">
        <f>ROUND(120+12*35+IF(E15=1,200,0),0)</f>
        <v>540</v>
      </c>
      <c r="K15" s="1" t="str">
        <f>IF(12&lt;=10,"低级材料",IF(12&lt;=20,"中级材料","高级材料"))</f>
        <v>中级材料</v>
      </c>
    </row>
    <row r="16" spans="1:11" ht="15">
      <c r="A16" s="1" t="s">
        <v>80</v>
      </c>
      <c r="B16" s="1">
        <f>'3_敌人属性设计'!B16</f>
        <v>33</v>
      </c>
      <c r="C16" s="1">
        <f>6+ROUNDUP(13/3,0)</f>
        <v>11</v>
      </c>
      <c r="D16" s="1">
        <f>IF(MOD(13,4)=0,2,1)</f>
        <v>1</v>
      </c>
      <c r="E16" s="1">
        <f>IF(MOD(13,5)=0,1,0)</f>
        <v>0</v>
      </c>
      <c r="F16" s="1">
        <f>C16*'3_敌人属性设计'!C16+D16*'3_敌人属性设计'!F16+E16*'3_敌人属性设计'!I16</f>
        <v>25613</v>
      </c>
      <c r="G16" s="1">
        <f>INDEX('1_角色属性成长'!$E$4:$E$83,B16)</f>
        <v>3699</v>
      </c>
      <c r="H16" s="1">
        <f t="shared" si="0"/>
        <v>2.4700000000000002</v>
      </c>
      <c r="I16" s="1" t="str">
        <f t="shared" si="1"/>
        <v>高压</v>
      </c>
      <c r="J16" s="1">
        <f>ROUND(120+13*35+IF(E16=1,200,0),0)</f>
        <v>575</v>
      </c>
      <c r="K16" s="1" t="str">
        <f>IF(13&lt;=10,"低级材料",IF(13&lt;=20,"中级材料","高级材料"))</f>
        <v>中级材料</v>
      </c>
    </row>
    <row r="17" spans="1:11" ht="15">
      <c r="A17" s="1" t="s">
        <v>81</v>
      </c>
      <c r="B17" s="1">
        <f>'3_敌人属性设计'!B17</f>
        <v>35</v>
      </c>
      <c r="C17" s="1">
        <f>6+ROUNDUP(14/3,0)</f>
        <v>11</v>
      </c>
      <c r="D17" s="1">
        <f>IF(MOD(14,4)=0,2,1)</f>
        <v>1</v>
      </c>
      <c r="E17" s="1">
        <f>IF(MOD(14,5)=0,1,0)</f>
        <v>0</v>
      </c>
      <c r="F17" s="1">
        <f>C17*'3_敌人属性设计'!C17+D17*'3_敌人属性设计'!F17+E17*'3_敌人属性设计'!I17</f>
        <v>28870</v>
      </c>
      <c r="G17" s="1">
        <f>INDEX('1_角色属性成长'!$E$4:$E$83,B17)</f>
        <v>4050</v>
      </c>
      <c r="H17" s="1">
        <f t="shared" si="0"/>
        <v>2.5499999999999998</v>
      </c>
      <c r="I17" s="1" t="str">
        <f t="shared" si="1"/>
        <v>高压</v>
      </c>
      <c r="J17" s="1">
        <f>ROUND(120+14*35+IF(E17=1,200,0),0)</f>
        <v>610</v>
      </c>
      <c r="K17" s="1" t="str">
        <f>IF(14&lt;=10,"低级材料",IF(14&lt;=20,"中级材料","高级材料"))</f>
        <v>中级材料</v>
      </c>
    </row>
    <row r="18" spans="1:11" ht="15">
      <c r="A18" s="1" t="s">
        <v>82</v>
      </c>
      <c r="B18" s="1">
        <f>'3_敌人属性设计'!B18</f>
        <v>38</v>
      </c>
      <c r="C18" s="1">
        <f>6+ROUNDUP(15/3,0)</f>
        <v>11</v>
      </c>
      <c r="D18" s="1">
        <f>IF(MOD(15,4)=0,2,1)</f>
        <v>1</v>
      </c>
      <c r="E18" s="1">
        <f>IF(MOD(15,5)=0,1,0)</f>
        <v>1</v>
      </c>
      <c r="F18" s="1">
        <f>C18*'3_敌人属性设计'!C18+D18*'3_敌人属性设计'!F18+E18*'3_敌人属性设计'!I18</f>
        <v>57948</v>
      </c>
      <c r="G18" s="1">
        <f>INDEX('1_角色属性成长'!$E$4:$E$83,B18)</f>
        <v>4635</v>
      </c>
      <c r="H18" s="1">
        <f t="shared" si="0"/>
        <v>4.47</v>
      </c>
      <c r="I18" s="1" t="str">
        <f t="shared" si="1"/>
        <v>高压</v>
      </c>
      <c r="J18" s="1">
        <f>ROUND(120+15*35+IF(E18=1,200,0),0)</f>
        <v>845</v>
      </c>
      <c r="K18" s="1" t="str">
        <f>IF(15&lt;=10,"低级材料",IF(15&lt;=20,"中级材料","高级材料"))</f>
        <v>中级材料</v>
      </c>
    </row>
    <row r="19" spans="1:11" ht="15">
      <c r="A19" s="1" t="s">
        <v>83</v>
      </c>
      <c r="B19" s="1">
        <f>'3_敌人属性设计'!B19</f>
        <v>40</v>
      </c>
      <c r="C19" s="1">
        <f>6+ROUNDUP(16/3,0)</f>
        <v>12</v>
      </c>
      <c r="D19" s="1">
        <f>IF(MOD(16,4)=0,2,1)</f>
        <v>2</v>
      </c>
      <c r="E19" s="1">
        <f>IF(MOD(16,5)=0,1,0)</f>
        <v>0</v>
      </c>
      <c r="F19" s="1">
        <f>C19*'3_敌人属性设计'!C19+D19*'3_敌人属性设计'!F19+E19*'3_敌人属性设计'!I19</f>
        <v>49316</v>
      </c>
      <c r="G19" s="1">
        <f>INDEX('1_角色属性成长'!$E$4:$E$83,B19)</f>
        <v>5072</v>
      </c>
      <c r="H19" s="1">
        <f t="shared" si="0"/>
        <v>3.47</v>
      </c>
      <c r="I19" s="1" t="str">
        <f t="shared" si="1"/>
        <v>高压</v>
      </c>
      <c r="J19" s="1">
        <f>ROUND(120+16*35+IF(E19=1,200,0),0)</f>
        <v>680</v>
      </c>
      <c r="K19" s="1" t="str">
        <f>IF(16&lt;=10,"低级材料",IF(16&lt;=20,"中级材料","高级材料"))</f>
        <v>中级材料</v>
      </c>
    </row>
    <row r="20" spans="1:11" ht="15">
      <c r="A20" s="1" t="s">
        <v>84</v>
      </c>
      <c r="B20" s="1">
        <f>'3_敌人属性设计'!B20</f>
        <v>43</v>
      </c>
      <c r="C20" s="1">
        <f>6+ROUNDUP(17/3,0)</f>
        <v>12</v>
      </c>
      <c r="D20" s="1">
        <f>IF(MOD(17,4)=0,2,1)</f>
        <v>1</v>
      </c>
      <c r="E20" s="1">
        <f>IF(MOD(17,5)=0,1,0)</f>
        <v>0</v>
      </c>
      <c r="F20" s="1">
        <f>C20*'3_敌人属性设计'!C20+D20*'3_敌人属性设计'!F20+E20*'3_敌人属性设计'!I20</f>
        <v>49284</v>
      </c>
      <c r="G20" s="1">
        <f>INDEX('1_角色属性成长'!$E$4:$E$83,B20)</f>
        <v>5805</v>
      </c>
      <c r="H20" s="1">
        <f t="shared" si="0"/>
        <v>3.03</v>
      </c>
      <c r="I20" s="1" t="str">
        <f t="shared" si="1"/>
        <v>高压</v>
      </c>
      <c r="J20" s="1">
        <f>ROUND(120+17*35+IF(E20=1,200,0),0)</f>
        <v>715</v>
      </c>
      <c r="K20" s="1" t="str">
        <f>IF(17&lt;=10,"低级材料",IF(17&lt;=20,"中级材料","高级材料"))</f>
        <v>中级材料</v>
      </c>
    </row>
    <row r="21" spans="1:11" ht="15">
      <c r="A21" s="1" t="s">
        <v>85</v>
      </c>
      <c r="B21" s="1">
        <f>'3_敌人属性设计'!B21</f>
        <v>45</v>
      </c>
      <c r="C21" s="1">
        <f>6+ROUNDUP(18/3,0)</f>
        <v>12</v>
      </c>
      <c r="D21" s="1">
        <f>IF(MOD(18,4)=0,2,1)</f>
        <v>1</v>
      </c>
      <c r="E21" s="1">
        <f>IF(MOD(18,5)=0,1,0)</f>
        <v>0</v>
      </c>
      <c r="F21" s="1">
        <f>C21*'3_敌人属性设计'!C21+D21*'3_敌人属性设计'!F21+E21*'3_敌人属性设计'!I21</f>
        <v>55500</v>
      </c>
      <c r="G21" s="1">
        <f>INDEX('1_角色属性成长'!$E$4:$E$83,B21)</f>
        <v>6357</v>
      </c>
      <c r="H21" s="1">
        <f t="shared" si="0"/>
        <v>3.12</v>
      </c>
      <c r="I21" s="1" t="str">
        <f t="shared" si="1"/>
        <v>高压</v>
      </c>
      <c r="J21" s="1">
        <f>ROUND(120+18*35+IF(E21=1,200,0),0)</f>
        <v>750</v>
      </c>
      <c r="K21" s="1" t="str">
        <f>IF(18&lt;=10,"低级材料",IF(18&lt;=20,"中级材料","高级材料"))</f>
        <v>中级材料</v>
      </c>
    </row>
    <row r="22" spans="1:11" ht="15">
      <c r="A22" s="1" t="s">
        <v>86</v>
      </c>
      <c r="B22" s="1">
        <f>'3_敌人属性设计'!B22</f>
        <v>48</v>
      </c>
      <c r="C22" s="1">
        <f>6+ROUNDUP(19/3,0)</f>
        <v>13</v>
      </c>
      <c r="D22" s="1">
        <f>IF(MOD(19,4)=0,2,1)</f>
        <v>1</v>
      </c>
      <c r="E22" s="1">
        <f>IF(MOD(19,5)=0,1,0)</f>
        <v>0</v>
      </c>
      <c r="F22" s="1">
        <f>C22*'3_敌人属性设计'!C22+D22*'3_敌人属性设计'!F22+E22*'3_敌人属性设计'!I22</f>
        <v>70405</v>
      </c>
      <c r="G22" s="1">
        <f>INDEX('1_角色属性成长'!$E$4:$E$83,B22)</f>
        <v>7279</v>
      </c>
      <c r="H22" s="1">
        <f t="shared" si="0"/>
        <v>3.45</v>
      </c>
      <c r="I22" s="1" t="str">
        <f t="shared" si="1"/>
        <v>高压</v>
      </c>
      <c r="J22" s="1">
        <f>ROUND(120+19*35+IF(E22=1,200,0),0)</f>
        <v>785</v>
      </c>
      <c r="K22" s="1" t="str">
        <f>IF(19&lt;=10,"低级材料",IF(19&lt;=20,"中级材料","高级材料"))</f>
        <v>中级材料</v>
      </c>
    </row>
    <row r="23" spans="1:11" ht="15">
      <c r="A23" s="1" t="s">
        <v>87</v>
      </c>
      <c r="B23" s="1">
        <f>'3_敌人属性设计'!B23</f>
        <v>50</v>
      </c>
      <c r="C23" s="1">
        <f>6+ROUNDUP(20/3,0)</f>
        <v>13</v>
      </c>
      <c r="D23" s="1">
        <f>IF(MOD(20,4)=0,2,1)</f>
        <v>2</v>
      </c>
      <c r="E23" s="1">
        <f>IF(MOD(20,5)=0,1,0)</f>
        <v>1</v>
      </c>
      <c r="F23" s="1">
        <f>C23*'3_敌人属性设计'!C23+D23*'3_敌人属性设计'!F23+E23*'3_敌人属性设计'!I23</f>
        <v>140979</v>
      </c>
      <c r="G23" s="1">
        <f>INDEX('1_角色属性成长'!$E$4:$E$83,B23)</f>
        <v>7966</v>
      </c>
      <c r="H23" s="1">
        <f t="shared" si="0"/>
        <v>6.32</v>
      </c>
      <c r="I23" s="1" t="str">
        <f t="shared" si="1"/>
        <v>高压</v>
      </c>
      <c r="J23" s="1">
        <f>ROUND(120+20*35+IF(E23=1,200,0),0)</f>
        <v>1020</v>
      </c>
      <c r="K23" s="1" t="str">
        <f>IF(20&lt;=10,"低级材料",IF(20&lt;=20,"中级材料","高级材料"))</f>
        <v>中级材料</v>
      </c>
    </row>
    <row r="24" spans="1:11" ht="15">
      <c r="A24" s="1" t="s">
        <v>88</v>
      </c>
      <c r="B24" s="1">
        <f>'3_敌人属性设计'!B24</f>
        <v>53</v>
      </c>
      <c r="C24" s="1">
        <f>6+ROUNDUP(21/3,0)</f>
        <v>13</v>
      </c>
      <c r="D24" s="1">
        <f>IF(MOD(21,4)=0,2,1)</f>
        <v>1</v>
      </c>
      <c r="E24" s="1">
        <f>IF(MOD(21,5)=0,1,0)</f>
        <v>0</v>
      </c>
      <c r="F24" s="1">
        <f>C24*'3_敌人属性设计'!C24+D24*'3_敌人属性设计'!F24+E24*'3_敌人属性设计'!I24</f>
        <v>94168</v>
      </c>
      <c r="G24" s="1">
        <f>INDEX('1_角色属性成长'!$E$4:$E$83,B24)</f>
        <v>9127</v>
      </c>
      <c r="H24" s="1">
        <f t="shared" si="0"/>
        <v>3.68</v>
      </c>
      <c r="I24" s="1" t="str">
        <f t="shared" si="1"/>
        <v>高压</v>
      </c>
      <c r="J24" s="1">
        <f>ROUND(120+21*35+IF(E24=1,200,0),0)</f>
        <v>855</v>
      </c>
      <c r="K24" s="1" t="str">
        <f>IF(21&lt;=10,"低级材料",IF(21&lt;=20,"中级材料","高级材料"))</f>
        <v>高级材料</v>
      </c>
    </row>
    <row r="25" spans="1:11" ht="15">
      <c r="A25" s="1" t="s">
        <v>89</v>
      </c>
      <c r="B25" s="1">
        <f>'3_敌人属性设计'!B25</f>
        <v>55</v>
      </c>
      <c r="C25" s="1">
        <f>6+ROUNDUP(22/3,0)</f>
        <v>14</v>
      </c>
      <c r="D25" s="1">
        <f>IF(MOD(22,4)=0,2,1)</f>
        <v>1</v>
      </c>
      <c r="E25" s="1">
        <f>IF(MOD(22,5)=0,1,0)</f>
        <v>0</v>
      </c>
      <c r="F25" s="1">
        <f>C25*'3_敌人属性设计'!C25+D25*'3_敌人属性设计'!F25+E25*'3_敌人属性设计'!I25</f>
        <v>112711</v>
      </c>
      <c r="G25" s="1">
        <f>INDEX('1_角色属性成长'!$E$4:$E$83,B25)</f>
        <v>9995</v>
      </c>
      <c r="H25" s="1">
        <f t="shared" si="0"/>
        <v>4.03</v>
      </c>
      <c r="I25" s="1" t="str">
        <f t="shared" si="1"/>
        <v>高压</v>
      </c>
      <c r="J25" s="1">
        <f>ROUND(120+22*35+IF(E25=1,200,0),0)</f>
        <v>890</v>
      </c>
      <c r="K25" s="1" t="str">
        <f>IF(22&lt;=10,"低级材料",IF(22&lt;=20,"中级材料","高级材料"))</f>
        <v>高级材料</v>
      </c>
    </row>
    <row r="26" spans="1:11" ht="15">
      <c r="A26" s="1" t="s">
        <v>90</v>
      </c>
      <c r="B26" s="1">
        <f>'3_敌人属性设计'!B26</f>
        <v>58</v>
      </c>
      <c r="C26" s="1">
        <f>6+ROUNDUP(23/3,0)</f>
        <v>14</v>
      </c>
      <c r="D26" s="1">
        <f>IF(MOD(23,4)=0,2,1)</f>
        <v>1</v>
      </c>
      <c r="E26" s="1">
        <f>IF(MOD(23,5)=0,1,0)</f>
        <v>0</v>
      </c>
      <c r="F26" s="1">
        <f>C26*'3_敌人属性设计'!C26+D26*'3_敌人属性设计'!F26+E26*'3_敌人属性设计'!I26</f>
        <v>133846</v>
      </c>
      <c r="G26" s="1">
        <f>INDEX('1_角色属性成长'!$E$4:$E$83,B26)</f>
        <v>11454</v>
      </c>
      <c r="H26" s="1">
        <f t="shared" si="0"/>
        <v>4.17</v>
      </c>
      <c r="I26" s="1" t="str">
        <f t="shared" si="1"/>
        <v>高压</v>
      </c>
      <c r="J26" s="1">
        <f>ROUND(120+23*35+IF(E26=1,200,0),0)</f>
        <v>925</v>
      </c>
      <c r="K26" s="1" t="str">
        <f>IF(23&lt;=10,"低级材料",IF(23&lt;=20,"中级材料","高级材料"))</f>
        <v>高级材料</v>
      </c>
    </row>
    <row r="27" spans="1:11" ht="15">
      <c r="A27" s="1" t="s">
        <v>91</v>
      </c>
      <c r="B27" s="1">
        <f>'3_敌人属性设计'!B27</f>
        <v>60</v>
      </c>
      <c r="C27" s="1">
        <f>6+ROUNDUP(24/3,0)</f>
        <v>14</v>
      </c>
      <c r="D27" s="1">
        <f>IF(MOD(24,4)=0,2,1)</f>
        <v>2</v>
      </c>
      <c r="E27" s="1">
        <f>IF(MOD(24,5)=0,1,0)</f>
        <v>0</v>
      </c>
      <c r="F27" s="1">
        <f>C27*'3_敌人属性设计'!C27+D27*'3_敌人属性设计'!F27+E27*'3_敌人属性设计'!I27</f>
        <v>175734</v>
      </c>
      <c r="G27" s="1">
        <f>INDEX('1_角色属性成长'!$E$4:$E$83,B27)</f>
        <v>12545</v>
      </c>
      <c r="H27" s="1">
        <f t="shared" si="0"/>
        <v>5</v>
      </c>
      <c r="I27" s="1" t="str">
        <f t="shared" si="1"/>
        <v>高压</v>
      </c>
      <c r="J27" s="1">
        <f>ROUND(120+24*35+IF(E27=1,200,0),0)</f>
        <v>960</v>
      </c>
      <c r="K27" s="1" t="str">
        <f>IF(24&lt;=10,"低级材料",IF(24&lt;=20,"中级材料","高级材料"))</f>
        <v>高级材料</v>
      </c>
    </row>
    <row r="28" spans="1:11" ht="15">
      <c r="A28" s="1" t="s">
        <v>92</v>
      </c>
      <c r="B28" s="1">
        <f>'3_敌人属性设计'!B28</f>
        <v>63</v>
      </c>
      <c r="C28" s="1">
        <f>6+ROUNDUP(25/3,0)</f>
        <v>15</v>
      </c>
      <c r="D28" s="1">
        <f>IF(MOD(25,4)=0,2,1)</f>
        <v>1</v>
      </c>
      <c r="E28" s="1">
        <f>IF(MOD(25,5)=0,1,0)</f>
        <v>1</v>
      </c>
      <c r="F28" s="1">
        <f>C28*'3_敌人属性设计'!C28+D28*'3_敌人属性设计'!F28+E28*'3_敌人属性设计'!I28</f>
        <v>290581</v>
      </c>
      <c r="G28" s="1">
        <f>INDEX('1_角色属性成长'!$E$4:$E$83,B28)</f>
        <v>14388</v>
      </c>
      <c r="H28" s="1">
        <f t="shared" si="0"/>
        <v>7.21</v>
      </c>
      <c r="I28" s="1" t="str">
        <f t="shared" si="1"/>
        <v>高压</v>
      </c>
      <c r="J28" s="1">
        <f>ROUND(120+25*35+IF(E28=1,200,0),0)</f>
        <v>1195</v>
      </c>
      <c r="K28" s="1" t="str">
        <f>IF(25&lt;=10,"低级材料",IF(25&lt;=20,"中级材料","高级材料"))</f>
        <v>高级材料</v>
      </c>
    </row>
    <row r="29" spans="1:11" ht="15">
      <c r="A29" s="1" t="s">
        <v>93</v>
      </c>
      <c r="B29" s="1">
        <f>'3_敌人属性设计'!B29</f>
        <v>65</v>
      </c>
      <c r="C29" s="1">
        <f>6+ROUNDUP(26/3,0)</f>
        <v>15</v>
      </c>
      <c r="D29" s="1">
        <f>IF(MOD(26,4)=0,2,1)</f>
        <v>1</v>
      </c>
      <c r="E29" s="1">
        <f>IF(MOD(26,5)=0,1,0)</f>
        <v>0</v>
      </c>
      <c r="F29" s="1">
        <f>C29*'3_敌人属性设计'!C29+D29*'3_敌人属性设计'!F29+E29*'3_敌人属性设计'!I29</f>
        <v>213173</v>
      </c>
      <c r="G29" s="1">
        <f>INDEX('1_角色属性成长'!$E$4:$E$83,B29)</f>
        <v>15762</v>
      </c>
      <c r="H29" s="1">
        <f t="shared" si="0"/>
        <v>4.83</v>
      </c>
      <c r="I29" s="1" t="str">
        <f t="shared" si="1"/>
        <v>高压</v>
      </c>
      <c r="J29" s="1">
        <f>ROUND(120+26*35+IF(E29=1,200,0),0)</f>
        <v>1030</v>
      </c>
      <c r="K29" s="1" t="str">
        <f>IF(26&lt;=10,"低级材料",IF(26&lt;=20,"中级材料","高级材料"))</f>
        <v>高级材料</v>
      </c>
    </row>
    <row r="30" spans="1:11" ht="15">
      <c r="A30" s="1" t="s">
        <v>94</v>
      </c>
      <c r="B30" s="1">
        <f>'3_敌人属性设计'!B30</f>
        <v>68</v>
      </c>
      <c r="C30" s="1">
        <f>6+ROUNDUP(27/3,0)</f>
        <v>15</v>
      </c>
      <c r="D30" s="1">
        <f>IF(MOD(27,4)=0,2,1)</f>
        <v>1</v>
      </c>
      <c r="E30" s="1">
        <f>IF(MOD(27,5)=0,1,0)</f>
        <v>0</v>
      </c>
      <c r="F30" s="1">
        <f>C30*'3_敌人属性设计'!C30+D30*'3_敌人属性设计'!F30+E30*'3_敌人属性设计'!I30</f>
        <v>253027</v>
      </c>
      <c r="G30" s="1">
        <f>INDEX('1_角色属性成长'!$E$4:$E$83,B30)</f>
        <v>18073</v>
      </c>
      <c r="H30" s="1">
        <f t="shared" si="0"/>
        <v>5</v>
      </c>
      <c r="I30" s="1" t="str">
        <f t="shared" si="1"/>
        <v>高压</v>
      </c>
      <c r="J30" s="1">
        <f>ROUND(120+27*35+IF(E30=1,200,0),0)</f>
        <v>1065</v>
      </c>
      <c r="K30" s="1" t="str">
        <f>IF(27&lt;=10,"低级材料",IF(27&lt;=20,"中级材料","高级材料"))</f>
        <v>高级材料</v>
      </c>
    </row>
    <row r="31" spans="1:11" ht="15">
      <c r="A31" s="1" t="s">
        <v>95</v>
      </c>
      <c r="B31" s="1">
        <f>'3_敌人属性设计'!B31</f>
        <v>70</v>
      </c>
      <c r="C31" s="1">
        <f>6+ROUNDUP(28/3,0)</f>
        <v>16</v>
      </c>
      <c r="D31" s="1">
        <f>IF(MOD(28,4)=0,2,1)</f>
        <v>2</v>
      </c>
      <c r="E31" s="1">
        <f>IF(MOD(28,5)=0,1,0)</f>
        <v>0</v>
      </c>
      <c r="F31" s="1">
        <f>C31*'3_敌人属性设计'!C31+D31*'3_敌人属性设计'!F31+E31*'3_敌人属性设计'!I31</f>
        <v>345406</v>
      </c>
      <c r="G31" s="1">
        <f>INDEX('1_角色属性成长'!$E$4:$E$83,B31)</f>
        <v>19805</v>
      </c>
      <c r="H31" s="1">
        <f t="shared" si="0"/>
        <v>6.23</v>
      </c>
      <c r="I31" s="1" t="str">
        <f t="shared" si="1"/>
        <v>高压</v>
      </c>
      <c r="J31" s="1">
        <f>ROUND(120+28*35+IF(E31=1,200,0),0)</f>
        <v>1100</v>
      </c>
      <c r="K31" s="1" t="str">
        <f>IF(28&lt;=10,"低级材料",IF(28&lt;=20,"中级材料","高级材料"))</f>
        <v>高级材料</v>
      </c>
    </row>
    <row r="32" spans="1:11" ht="15">
      <c r="A32" s="1" t="s">
        <v>96</v>
      </c>
      <c r="B32" s="1">
        <f>'3_敌人属性设计'!B32</f>
        <v>73</v>
      </c>
      <c r="C32" s="1">
        <f>6+ROUNDUP(29/3,0)</f>
        <v>16</v>
      </c>
      <c r="D32" s="1">
        <f>IF(MOD(29,4)=0,2,1)</f>
        <v>1</v>
      </c>
      <c r="E32" s="1">
        <f>IF(MOD(29,5)=0,1,0)</f>
        <v>0</v>
      </c>
      <c r="F32" s="1">
        <f>C32*'3_敌人属性设计'!C32+D32*'3_敌人属性设计'!F32+E32*'3_敌人属性设计'!I32</f>
        <v>356730</v>
      </c>
      <c r="G32" s="1">
        <f>INDEX('1_角色属性成长'!$E$4:$E$83,B32)</f>
        <v>22719</v>
      </c>
      <c r="H32" s="1">
        <f t="shared" si="0"/>
        <v>5.61</v>
      </c>
      <c r="I32" s="1" t="str">
        <f t="shared" si="1"/>
        <v>高压</v>
      </c>
      <c r="J32" s="1">
        <f>ROUND(120+29*35+IF(E32=1,200,0),0)</f>
        <v>1135</v>
      </c>
      <c r="K32" s="1" t="str">
        <f>IF(29&lt;=10,"低级材料",IF(29&lt;=20,"中级材料","高级材料"))</f>
        <v>高级材料</v>
      </c>
    </row>
    <row r="33" spans="1:11" ht="15">
      <c r="A33" s="1" t="s">
        <v>97</v>
      </c>
      <c r="B33" s="1">
        <f>'3_敌人属性设计'!B33</f>
        <v>75</v>
      </c>
      <c r="C33" s="1">
        <f>6+ROUNDUP(30/3,0)</f>
        <v>16</v>
      </c>
      <c r="D33" s="1">
        <f>IF(MOD(30,4)=0,2,1)</f>
        <v>1</v>
      </c>
      <c r="E33" s="1">
        <f>IF(MOD(30,5)=0,1,0)</f>
        <v>1</v>
      </c>
      <c r="F33" s="1">
        <f>C33*'3_敌人属性设计'!C33+D33*'3_敌人属性设计'!F33+E33*'3_敌人属性设计'!I33</f>
        <v>603951</v>
      </c>
      <c r="G33" s="1">
        <f>INDEX('1_角色属性成长'!$E$4:$E$83,B33)</f>
        <v>24902</v>
      </c>
      <c r="H33" s="1">
        <f t="shared" si="0"/>
        <v>8.66</v>
      </c>
      <c r="I33" s="1" t="str">
        <f t="shared" si="1"/>
        <v>高压</v>
      </c>
      <c r="J33" s="1">
        <f>ROUND(120+30*35+IF(E33=1,200,0),0)</f>
        <v>1370</v>
      </c>
      <c r="K33" s="1" t="str">
        <f>IF(30&lt;=10,"低级材料",IF(30&lt;=20,"中级材料","高级材料"))</f>
        <v>高级材料</v>
      </c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K1"/>
  </mergeCells>
  <phoneticPr fontId="4" type="noConversion"/>
  <conditionalFormatting sqref="H4:H3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0"/>
  <sheetViews>
    <sheetView workbookViewId="0">
      <selection sqref="A1:J1"/>
    </sheetView>
  </sheetViews>
  <sheetFormatPr defaultRowHeight="13.8"/>
  <cols>
    <col min="1" max="8" width="14" customWidth="1"/>
    <col min="9" max="10" width="28" customWidth="1"/>
    <col min="11" max="11" width="14" customWidth="1"/>
  </cols>
  <sheetData>
    <row r="1" spans="1:11" ht="15.6">
      <c r="A1" s="9" t="s">
        <v>121</v>
      </c>
      <c r="B1" s="9"/>
      <c r="C1" s="9"/>
      <c r="D1" s="9"/>
      <c r="E1" s="9"/>
      <c r="F1" s="9"/>
      <c r="G1" s="9"/>
      <c r="H1" s="9"/>
      <c r="I1" s="9"/>
      <c r="J1" s="9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2" t="s">
        <v>122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</v>
      </c>
      <c r="K3" s="1"/>
    </row>
    <row r="4" spans="1:11" ht="15">
      <c r="A4" s="7" t="s">
        <v>131</v>
      </c>
      <c r="B4" s="7" t="s">
        <v>132</v>
      </c>
      <c r="C4" s="7" t="s">
        <v>133</v>
      </c>
      <c r="D4" s="8">
        <f>SUM('1_角色属性成长'!F4:F23)</f>
        <v>2841</v>
      </c>
      <c r="E4" s="8">
        <f>ROUND(D4*0.85,0)</f>
        <v>2415</v>
      </c>
      <c r="F4" s="7">
        <v>18</v>
      </c>
      <c r="G4" s="7">
        <v>2</v>
      </c>
      <c r="H4" s="7">
        <v>0</v>
      </c>
      <c r="I4" s="7" t="s">
        <v>134</v>
      </c>
      <c r="J4" s="7" t="s">
        <v>135</v>
      </c>
      <c r="K4" s="1"/>
    </row>
    <row r="5" spans="1:11" ht="15">
      <c r="A5" s="7" t="s">
        <v>136</v>
      </c>
      <c r="B5" s="7" t="s">
        <v>137</v>
      </c>
      <c r="C5" s="7" t="s">
        <v>138</v>
      </c>
      <c r="D5" s="8">
        <f>SUM('1_角色属性成长'!F24:F43)</f>
        <v>10278</v>
      </c>
      <c r="E5" s="8">
        <f>ROUND(D5*0.95,0)</f>
        <v>9764</v>
      </c>
      <c r="F5" s="7">
        <v>26</v>
      </c>
      <c r="G5" s="7">
        <v>12</v>
      </c>
      <c r="H5" s="7">
        <v>2</v>
      </c>
      <c r="I5" s="7" t="s">
        <v>139</v>
      </c>
      <c r="J5" s="7" t="s">
        <v>140</v>
      </c>
      <c r="K5" s="1"/>
    </row>
    <row r="6" spans="1:11" ht="15">
      <c r="A6" s="7" t="s">
        <v>141</v>
      </c>
      <c r="B6" s="7" t="s">
        <v>142</v>
      </c>
      <c r="C6" s="7" t="s">
        <v>143</v>
      </c>
      <c r="D6" s="8">
        <f>SUM('1_角色属性成长'!F44:F63)</f>
        <v>36214</v>
      </c>
      <c r="E6" s="8">
        <f>ROUND(D6*1.1,0)</f>
        <v>39835</v>
      </c>
      <c r="F6" s="7">
        <v>20</v>
      </c>
      <c r="G6" s="7">
        <v>26</v>
      </c>
      <c r="H6" s="7">
        <v>8</v>
      </c>
      <c r="I6" s="7" t="s">
        <v>144</v>
      </c>
      <c r="J6" s="7" t="s">
        <v>145</v>
      </c>
      <c r="K6" s="1"/>
    </row>
    <row r="7" spans="1:11" ht="15">
      <c r="A7" s="7" t="s">
        <v>146</v>
      </c>
      <c r="B7" s="7" t="s">
        <v>147</v>
      </c>
      <c r="C7" s="7" t="s">
        <v>148</v>
      </c>
      <c r="D7" s="8">
        <f>SUM('1_角色属性成长'!F64:F83)</f>
        <v>127594</v>
      </c>
      <c r="E7" s="8">
        <f>ROUND(D7*1.25,0)</f>
        <v>159493</v>
      </c>
      <c r="F7" s="7">
        <v>10</v>
      </c>
      <c r="G7" s="7">
        <v>24</v>
      </c>
      <c r="H7" s="7">
        <v>18</v>
      </c>
      <c r="I7" s="7" t="s">
        <v>149</v>
      </c>
      <c r="J7" s="7" t="s">
        <v>150</v>
      </c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J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0"/>
  <sheetViews>
    <sheetView tabSelected="1" workbookViewId="0">
      <selection sqref="A1:H1"/>
    </sheetView>
  </sheetViews>
  <sheetFormatPr defaultRowHeight="13.8"/>
  <cols>
    <col min="1" max="3" width="28" customWidth="1"/>
    <col min="4" max="11" width="14" customWidth="1"/>
  </cols>
  <sheetData>
    <row r="1" spans="1:11" ht="15.6">
      <c r="A1" s="9" t="s">
        <v>151</v>
      </c>
      <c r="B1" s="9"/>
      <c r="C1" s="9"/>
      <c r="D1" s="9"/>
      <c r="E1" s="9"/>
      <c r="F1" s="9"/>
      <c r="G1" s="9"/>
      <c r="H1" s="9"/>
      <c r="I1" s="1"/>
      <c r="J1" s="1"/>
      <c r="K1" s="1"/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11" t="s">
        <v>152</v>
      </c>
      <c r="B3" s="11"/>
      <c r="C3" s="11"/>
      <c r="D3" s="11"/>
      <c r="E3" s="11"/>
      <c r="F3" s="11"/>
      <c r="G3" s="11"/>
      <c r="H3" s="11"/>
      <c r="I3" s="1"/>
      <c r="J3" s="1"/>
      <c r="K3" s="1"/>
    </row>
    <row r="4" spans="1:1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6">
      <c r="A5" s="2" t="s">
        <v>153</v>
      </c>
      <c r="B5" s="2" t="s">
        <v>154</v>
      </c>
      <c r="C5" s="2" t="s">
        <v>155</v>
      </c>
      <c r="D5" s="1"/>
      <c r="E5" s="1"/>
      <c r="F5" s="1"/>
      <c r="G5" s="1"/>
      <c r="H5" s="1"/>
      <c r="I5" s="1"/>
      <c r="J5" s="1"/>
      <c r="K5" s="1"/>
    </row>
    <row r="6" spans="1:11" ht="30">
      <c r="A6" s="7" t="s">
        <v>156</v>
      </c>
      <c r="B6" s="7" t="s">
        <v>157</v>
      </c>
      <c r="C6" s="7" t="s">
        <v>158</v>
      </c>
      <c r="D6" s="1"/>
      <c r="E6" s="1"/>
      <c r="F6" s="1"/>
      <c r="G6" s="1"/>
      <c r="H6" s="1"/>
      <c r="I6" s="1"/>
      <c r="J6" s="1"/>
      <c r="K6" s="1"/>
    </row>
    <row r="7" spans="1:11" ht="30">
      <c r="A7" s="7" t="s">
        <v>159</v>
      </c>
      <c r="B7" s="7" t="s">
        <v>160</v>
      </c>
      <c r="C7" s="7" t="s">
        <v>161</v>
      </c>
      <c r="D7" s="1"/>
      <c r="E7" s="1"/>
      <c r="F7" s="1"/>
      <c r="G7" s="1"/>
      <c r="H7" s="1"/>
      <c r="I7" s="1"/>
      <c r="J7" s="1"/>
      <c r="K7" s="1"/>
    </row>
    <row r="8" spans="1:11" ht="30">
      <c r="A8" s="7" t="s">
        <v>162</v>
      </c>
      <c r="B8" s="7" t="s">
        <v>163</v>
      </c>
      <c r="C8" s="7" t="s">
        <v>164</v>
      </c>
      <c r="D8" s="1"/>
      <c r="E8" s="1"/>
      <c r="F8" s="1"/>
      <c r="G8" s="1"/>
      <c r="H8" s="1"/>
      <c r="I8" s="1"/>
      <c r="J8" s="1"/>
      <c r="K8" s="1"/>
    </row>
    <row r="9" spans="1:11" ht="30">
      <c r="A9" s="7" t="s">
        <v>165</v>
      </c>
      <c r="B9" s="7" t="s">
        <v>166</v>
      </c>
      <c r="C9" s="7" t="s">
        <v>167</v>
      </c>
      <c r="D9" s="1"/>
      <c r="E9" s="1"/>
      <c r="F9" s="1"/>
      <c r="G9" s="1"/>
      <c r="H9" s="1"/>
      <c r="I9" s="1"/>
      <c r="J9" s="1"/>
      <c r="K9" s="1"/>
    </row>
    <row r="10" spans="1:11" ht="45">
      <c r="A10" s="7" t="s">
        <v>168</v>
      </c>
      <c r="B10" s="7" t="s">
        <v>169</v>
      </c>
      <c r="C10" s="7" t="s">
        <v>170</v>
      </c>
      <c r="D10" s="1"/>
      <c r="E10" s="1"/>
      <c r="F10" s="1"/>
      <c r="G10" s="1"/>
      <c r="H10" s="1"/>
      <c r="I10" s="1"/>
      <c r="J10" s="1"/>
      <c r="K10" s="1"/>
    </row>
    <row r="11" spans="1:11" ht="45">
      <c r="A11" s="7" t="s">
        <v>171</v>
      </c>
      <c r="B11" s="7" t="s">
        <v>172</v>
      </c>
      <c r="C11" s="7" t="s">
        <v>173</v>
      </c>
      <c r="D11" s="1"/>
      <c r="E11" s="1"/>
      <c r="F11" s="1"/>
      <c r="G11" s="1"/>
      <c r="H11" s="1"/>
      <c r="I11" s="1"/>
      <c r="J11" s="1"/>
      <c r="K11" s="1"/>
    </row>
    <row r="12" spans="1:11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.6">
      <c r="A14" s="10" t="s">
        <v>174</v>
      </c>
      <c r="B14" s="10"/>
      <c r="C14" s="10"/>
      <c r="D14" s="10"/>
      <c r="E14" s="10"/>
      <c r="F14" s="10"/>
      <c r="G14" s="10"/>
      <c r="H14" s="10"/>
      <c r="I14" s="1"/>
      <c r="J14" s="1"/>
      <c r="K14" s="1"/>
    </row>
    <row r="15" spans="1:11" ht="30">
      <c r="A15" s="3" t="s">
        <v>175</v>
      </c>
      <c r="B15" s="3"/>
      <c r="C15" s="3"/>
      <c r="D15" s="3"/>
      <c r="E15" s="3"/>
      <c r="F15" s="3"/>
      <c r="G15" s="3"/>
      <c r="H15" s="3"/>
      <c r="I15" s="1"/>
      <c r="J15" s="1"/>
      <c r="K15" s="1"/>
    </row>
    <row r="16" spans="1:11" ht="45">
      <c r="A16" s="3" t="s">
        <v>176</v>
      </c>
      <c r="B16" s="3"/>
      <c r="C16" s="3"/>
      <c r="D16" s="3"/>
      <c r="E16" s="3"/>
      <c r="F16" s="3"/>
      <c r="G16" s="3"/>
      <c r="H16" s="3"/>
      <c r="I16" s="1"/>
      <c r="J16" s="1"/>
      <c r="K16" s="1"/>
    </row>
    <row r="17" spans="1:11" ht="45">
      <c r="A17" s="3" t="s">
        <v>177</v>
      </c>
      <c r="B17" s="3"/>
      <c r="C17" s="3"/>
      <c r="D17" s="3"/>
      <c r="E17" s="3"/>
      <c r="F17" s="3"/>
      <c r="G17" s="3"/>
      <c r="H17" s="3"/>
      <c r="I17" s="1"/>
      <c r="J17" s="1"/>
      <c r="K17" s="1"/>
    </row>
    <row r="18" spans="1:11" ht="45">
      <c r="A18" s="3" t="s">
        <v>178</v>
      </c>
      <c r="B18" s="3"/>
      <c r="C18" s="3"/>
      <c r="D18" s="3"/>
      <c r="E18" s="3"/>
      <c r="F18" s="3"/>
      <c r="G18" s="3"/>
      <c r="H18" s="3"/>
      <c r="I18" s="1"/>
      <c r="J18" s="1"/>
      <c r="K18" s="1"/>
    </row>
    <row r="19" spans="1:11" ht="45">
      <c r="A19" s="3" t="s">
        <v>179</v>
      </c>
      <c r="B19" s="3"/>
      <c r="C19" s="3"/>
      <c r="D19" s="3"/>
      <c r="E19" s="3"/>
      <c r="F19" s="3"/>
      <c r="G19" s="3"/>
      <c r="H19" s="3"/>
      <c r="I19" s="1"/>
      <c r="J19" s="1"/>
      <c r="K19" s="1"/>
    </row>
    <row r="20" spans="1:11" ht="15">
      <c r="A20" s="3"/>
      <c r="B20" s="3"/>
      <c r="C20" s="3"/>
      <c r="D20" s="3"/>
      <c r="E20" s="3"/>
      <c r="F20" s="3"/>
      <c r="G20" s="3"/>
      <c r="H20" s="3"/>
      <c r="I20" s="1"/>
      <c r="J20" s="1"/>
      <c r="K20" s="1"/>
    </row>
    <row r="21" spans="1:11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3">
    <mergeCell ref="A1:H1"/>
    <mergeCell ref="A3:H3"/>
    <mergeCell ref="A14:H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0_设计说明</vt:lpstr>
      <vt:lpstr>1_角色属性成长</vt:lpstr>
      <vt:lpstr>2_经验消耗曲线</vt:lpstr>
      <vt:lpstr>3_敌人属性设计</vt:lpstr>
      <vt:lpstr>4_伤害公式</vt:lpstr>
      <vt:lpstr>5_关卡难度配置</vt:lpstr>
      <vt:lpstr>6_资源产出消耗</vt:lpstr>
      <vt:lpstr>7_平衡性观察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间 花</cp:lastModifiedBy>
  <dcterms:modified xsi:type="dcterms:W3CDTF">2026-05-02T07:40:11Z</dcterms:modified>
</cp:coreProperties>
</file>